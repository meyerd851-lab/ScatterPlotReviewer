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meyer\Desktop\Reference Excel Sheets\"/>
    </mc:Choice>
  </mc:AlternateContent>
  <xr:revisionPtr revIDLastSave="0" documentId="13_ncr:1_{47761140-DEF8-4DD9-B8D7-C8DBE8435031}" xr6:coauthVersionLast="47" xr6:coauthVersionMax="47" xr10:uidLastSave="{00000000-0000-0000-0000-000000000000}"/>
  <bookViews>
    <workbookView xWindow="-57720" yWindow="8145" windowWidth="29040" windowHeight="17640" xr2:uid="{00000000-000D-0000-FFFF-FFFF00000000}"/>
  </bookViews>
  <sheets>
    <sheet name="Circular Template" sheetId="10" r:id="rId1"/>
    <sheet name="Proportional Element Table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10" l="1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23" i="10"/>
  <c r="L23" i="10"/>
  <c r="I3" i="14" l="1"/>
  <c r="I24" i="10" l="1"/>
  <c r="B24" i="10" s="1"/>
  <c r="A24" i="10" s="1"/>
  <c r="I25" i="10"/>
  <c r="B25" i="10" s="1"/>
  <c r="A25" i="10" s="1"/>
  <c r="I26" i="10"/>
  <c r="B26" i="10" s="1"/>
  <c r="A26" i="10" s="1"/>
  <c r="I27" i="10"/>
  <c r="B27" i="10" s="1"/>
  <c r="A27" i="10" s="1"/>
  <c r="I28" i="10"/>
  <c r="B28" i="10" s="1"/>
  <c r="A28" i="10" s="1"/>
  <c r="I29" i="10"/>
  <c r="B29" i="10" s="1"/>
  <c r="A29" i="10" s="1"/>
  <c r="I30" i="10"/>
  <c r="B30" i="10" s="1"/>
  <c r="A30" i="10" s="1"/>
  <c r="I31" i="10"/>
  <c r="B31" i="10" s="1"/>
  <c r="A31" i="10" s="1"/>
  <c r="I32" i="10"/>
  <c r="B32" i="10" s="1"/>
  <c r="A32" i="10" s="1"/>
  <c r="I33" i="10"/>
  <c r="B33" i="10" s="1"/>
  <c r="A33" i="10" s="1"/>
  <c r="I34" i="10"/>
  <c r="B34" i="10" s="1"/>
  <c r="A34" i="10" s="1"/>
  <c r="I35" i="10"/>
  <c r="B35" i="10" s="1"/>
  <c r="A35" i="10" s="1"/>
  <c r="I36" i="10"/>
  <c r="B36" i="10" s="1"/>
  <c r="A36" i="10" s="1"/>
  <c r="I37" i="10"/>
  <c r="B37" i="10" s="1"/>
  <c r="A37" i="10" s="1"/>
  <c r="I38" i="10"/>
  <c r="B38" i="10" s="1"/>
  <c r="A38" i="10" s="1"/>
  <c r="I39" i="10"/>
  <c r="B39" i="10" s="1"/>
  <c r="A39" i="10" s="1"/>
  <c r="I40" i="10"/>
  <c r="B40" i="10" s="1"/>
  <c r="A40" i="10" s="1"/>
  <c r="I41" i="10"/>
  <c r="B41" i="10" s="1"/>
  <c r="A41" i="10" s="1"/>
  <c r="I42" i="10"/>
  <c r="B42" i="10" s="1"/>
  <c r="A42" i="10" s="1"/>
  <c r="I43" i="10"/>
  <c r="B43" i="10" s="1"/>
  <c r="A43" i="10" s="1"/>
  <c r="I44" i="10"/>
  <c r="B44" i="10" s="1"/>
  <c r="A44" i="10" s="1"/>
  <c r="I45" i="10"/>
  <c r="B45" i="10" s="1"/>
  <c r="A45" i="10" s="1"/>
  <c r="I46" i="10"/>
  <c r="B46" i="10" s="1"/>
  <c r="A46" i="10" s="1"/>
  <c r="I47" i="10"/>
  <c r="B47" i="10" s="1"/>
  <c r="A47" i="10" s="1"/>
  <c r="I48" i="10"/>
  <c r="B48" i="10" s="1"/>
  <c r="A48" i="10" s="1"/>
  <c r="I49" i="10"/>
  <c r="B49" i="10" s="1"/>
  <c r="A49" i="10" s="1"/>
  <c r="I50" i="10"/>
  <c r="B50" i="10" s="1"/>
  <c r="A50" i="10" s="1"/>
  <c r="I51" i="10"/>
  <c r="B51" i="10" s="1"/>
  <c r="A51" i="10" s="1"/>
  <c r="I52" i="10"/>
  <c r="B52" i="10" s="1"/>
  <c r="A52" i="10" s="1"/>
  <c r="I53" i="10"/>
  <c r="B53" i="10" s="1"/>
  <c r="A53" i="10" s="1"/>
  <c r="I54" i="10"/>
  <c r="B54" i="10" s="1"/>
  <c r="A54" i="10" s="1"/>
  <c r="I55" i="10"/>
  <c r="B55" i="10" s="1"/>
  <c r="A55" i="10" s="1"/>
  <c r="I56" i="10"/>
  <c r="B56" i="10" s="1"/>
  <c r="A56" i="10" s="1"/>
  <c r="I57" i="10"/>
  <c r="B57" i="10" s="1"/>
  <c r="A57" i="10" s="1"/>
  <c r="I58" i="10"/>
  <c r="B58" i="10" s="1"/>
  <c r="A58" i="10" s="1"/>
  <c r="I23" i="10" l="1"/>
  <c r="B23" i="10" s="1"/>
  <c r="A23" i="10" s="1"/>
  <c r="B4" i="14"/>
  <c r="C4" i="14" s="1"/>
  <c r="B5" i="14"/>
  <c r="C5" i="14" s="1"/>
  <c r="F5" i="14" s="1"/>
  <c r="B6" i="14"/>
  <c r="C6" i="14" s="1"/>
  <c r="B7" i="14"/>
  <c r="C7" i="14" s="1"/>
  <c r="B8" i="14"/>
  <c r="C8" i="14" s="1"/>
  <c r="B9" i="14"/>
  <c r="C9" i="14" s="1"/>
  <c r="B10" i="14"/>
  <c r="C10" i="14" s="1"/>
  <c r="B11" i="14"/>
  <c r="C11" i="14" s="1"/>
  <c r="B12" i="14"/>
  <c r="C12" i="14" s="1"/>
  <c r="B13" i="14"/>
  <c r="C13" i="14" s="1"/>
  <c r="B14" i="14"/>
  <c r="C14" i="14" s="1"/>
  <c r="B15" i="14"/>
  <c r="C15" i="14" s="1"/>
  <c r="B16" i="14"/>
  <c r="C16" i="14" s="1"/>
  <c r="B17" i="14"/>
  <c r="C17" i="14" s="1"/>
  <c r="B18" i="14"/>
  <c r="C18" i="14" s="1"/>
  <c r="B19" i="14"/>
  <c r="C19" i="14" s="1"/>
  <c r="B20" i="14"/>
  <c r="C20" i="14" s="1"/>
  <c r="B21" i="14"/>
  <c r="C21" i="14" s="1"/>
  <c r="B22" i="14"/>
  <c r="C22" i="14" s="1"/>
  <c r="B23" i="14"/>
  <c r="C23" i="14" s="1"/>
  <c r="B24" i="14"/>
  <c r="C24" i="14" s="1"/>
  <c r="B25" i="14"/>
  <c r="C25" i="14" s="1"/>
  <c r="B26" i="14"/>
  <c r="C26" i="14" s="1"/>
  <c r="B27" i="14"/>
  <c r="C27" i="14" s="1"/>
  <c r="B28" i="14"/>
  <c r="C28" i="14" s="1"/>
  <c r="B29" i="14"/>
  <c r="C29" i="14" s="1"/>
  <c r="B30" i="14"/>
  <c r="C30" i="14" s="1"/>
  <c r="B31" i="14"/>
  <c r="C31" i="14" s="1"/>
  <c r="B32" i="14"/>
  <c r="C32" i="14" s="1"/>
  <c r="B33" i="14"/>
  <c r="C33" i="14" s="1"/>
  <c r="B34" i="14"/>
  <c r="C34" i="14" s="1"/>
  <c r="B35" i="14"/>
  <c r="C35" i="14" s="1"/>
  <c r="B36" i="14"/>
  <c r="C36" i="14" s="1"/>
  <c r="B37" i="14"/>
  <c r="C37" i="14" s="1"/>
  <c r="B38" i="14"/>
  <c r="C38" i="14" s="1"/>
  <c r="B3" i="14"/>
  <c r="C3" i="14" s="1"/>
  <c r="F3" i="14" s="1"/>
  <c r="G33" i="14" l="1"/>
  <c r="I33" i="14" s="1"/>
  <c r="F33" i="14"/>
  <c r="G23" i="14"/>
  <c r="I23" i="14" s="1"/>
  <c r="F23" i="14"/>
  <c r="G25" i="14"/>
  <c r="I25" i="14" s="1"/>
  <c r="F25" i="14"/>
  <c r="G29" i="14"/>
  <c r="I29" i="14" s="1"/>
  <c r="F29" i="14"/>
  <c r="G17" i="14"/>
  <c r="I17" i="14" s="1"/>
  <c r="F17" i="14"/>
  <c r="G16" i="14"/>
  <c r="I16" i="14" s="1"/>
  <c r="F16" i="14"/>
  <c r="G15" i="14"/>
  <c r="I15" i="14" s="1"/>
  <c r="F15" i="14"/>
  <c r="G14" i="14"/>
  <c r="I14" i="14" s="1"/>
  <c r="F14" i="14"/>
  <c r="G13" i="14"/>
  <c r="I13" i="14" s="1"/>
  <c r="F13" i="14"/>
  <c r="G22" i="14"/>
  <c r="I22" i="14" s="1"/>
  <c r="F22" i="14"/>
  <c r="G18" i="14"/>
  <c r="I18" i="14" s="1"/>
  <c r="F18" i="14"/>
  <c r="G12" i="14"/>
  <c r="I12" i="14" s="1"/>
  <c r="F12" i="14"/>
  <c r="G32" i="14"/>
  <c r="I32" i="14" s="1"/>
  <c r="F32" i="14"/>
  <c r="G11" i="14"/>
  <c r="I11" i="14" s="1"/>
  <c r="F11" i="14"/>
  <c r="G34" i="14"/>
  <c r="I34" i="14" s="1"/>
  <c r="F34" i="14"/>
  <c r="G10" i="14"/>
  <c r="I10" i="14" s="1"/>
  <c r="F10" i="14"/>
  <c r="G9" i="14"/>
  <c r="I9" i="14" s="1"/>
  <c r="F9" i="14"/>
  <c r="G27" i="14"/>
  <c r="I27" i="14" s="1"/>
  <c r="F27" i="14"/>
  <c r="G19" i="14"/>
  <c r="I19" i="14" s="1"/>
  <c r="F19" i="14"/>
  <c r="G8" i="14"/>
  <c r="I8" i="14" s="1"/>
  <c r="F8" i="14"/>
  <c r="G31" i="14"/>
  <c r="I31" i="14" s="1"/>
  <c r="F31" i="14"/>
  <c r="G7" i="14"/>
  <c r="I7" i="14" s="1"/>
  <c r="F7" i="14"/>
  <c r="G24" i="14"/>
  <c r="I24" i="14" s="1"/>
  <c r="F24" i="14"/>
  <c r="G38" i="14"/>
  <c r="I38" i="14" s="1"/>
  <c r="F38" i="14"/>
  <c r="G6" i="14"/>
  <c r="I6" i="14" s="1"/>
  <c r="F6" i="14"/>
  <c r="G26" i="14"/>
  <c r="I26" i="14" s="1"/>
  <c r="F26" i="14"/>
  <c r="G30" i="14"/>
  <c r="I30" i="14" s="1"/>
  <c r="F30" i="14"/>
  <c r="G21" i="14"/>
  <c r="I21" i="14" s="1"/>
  <c r="F21" i="14"/>
  <c r="G36" i="14"/>
  <c r="I36" i="14" s="1"/>
  <c r="F36" i="14"/>
  <c r="G4" i="14"/>
  <c r="I4" i="14" s="1"/>
  <c r="F4" i="14"/>
  <c r="G28" i="14"/>
  <c r="I28" i="14" s="1"/>
  <c r="F28" i="14"/>
  <c r="G20" i="14"/>
  <c r="I20" i="14" s="1"/>
  <c r="F20" i="14"/>
  <c r="G37" i="14"/>
  <c r="I37" i="14" s="1"/>
  <c r="F37" i="14"/>
  <c r="G35" i="14"/>
  <c r="I35" i="14" s="1"/>
  <c r="F35" i="14"/>
  <c r="H5" i="14"/>
  <c r="L25" i="10" s="1"/>
  <c r="G5" i="14"/>
  <c r="I5" i="14" s="1"/>
  <c r="D28" i="14"/>
  <c r="E28" i="14"/>
  <c r="H28" i="14"/>
  <c r="L48" i="10" s="1"/>
  <c r="D24" i="14"/>
  <c r="E24" i="14"/>
  <c r="H24" i="14"/>
  <c r="L44" i="10" s="1"/>
  <c r="D23" i="14"/>
  <c r="E23" i="14"/>
  <c r="H23" i="14"/>
  <c r="L43" i="10" s="1"/>
  <c r="D31" i="14"/>
  <c r="J51" i="10" s="1"/>
  <c r="E31" i="14"/>
  <c r="H31" i="14"/>
  <c r="L51" i="10" s="1"/>
  <c r="D22" i="14"/>
  <c r="E22" i="14"/>
  <c r="H22" i="14"/>
  <c r="L42" i="10" s="1"/>
  <c r="D19" i="14"/>
  <c r="H19" i="14"/>
  <c r="L39" i="10" s="1"/>
  <c r="E19" i="14"/>
  <c r="D18" i="14"/>
  <c r="J38" i="10" s="1"/>
  <c r="E18" i="14"/>
  <c r="H18" i="14"/>
  <c r="L38" i="10" s="1"/>
  <c r="D17" i="14"/>
  <c r="E17" i="14"/>
  <c r="H17" i="14"/>
  <c r="L37" i="10" s="1"/>
  <c r="D33" i="14"/>
  <c r="J53" i="10" s="1"/>
  <c r="E33" i="14"/>
  <c r="H33" i="14"/>
  <c r="L53" i="10" s="1"/>
  <c r="D16" i="14"/>
  <c r="J36" i="10" s="1"/>
  <c r="E16" i="14"/>
  <c r="H16" i="14"/>
  <c r="L36" i="10" s="1"/>
  <c r="D30" i="14"/>
  <c r="J50" i="10" s="1"/>
  <c r="E30" i="14"/>
  <c r="H30" i="14"/>
  <c r="L50" i="10" s="1"/>
  <c r="D15" i="14"/>
  <c r="H15" i="14"/>
  <c r="L35" i="10" s="1"/>
  <c r="E15" i="14"/>
  <c r="D29" i="14"/>
  <c r="E29" i="14"/>
  <c r="H29" i="14"/>
  <c r="L49" i="10" s="1"/>
  <c r="D25" i="14"/>
  <c r="E25" i="14"/>
  <c r="H25" i="14"/>
  <c r="L45" i="10" s="1"/>
  <c r="D14" i="14"/>
  <c r="J34" i="10" s="1"/>
  <c r="E14" i="14"/>
  <c r="H14" i="14"/>
  <c r="L34" i="10" s="1"/>
  <c r="H11" i="14"/>
  <c r="L31" i="10" s="1"/>
  <c r="E11" i="14"/>
  <c r="D3" i="14"/>
  <c r="E3" i="14"/>
  <c r="H38" i="14"/>
  <c r="L58" i="10" s="1"/>
  <c r="E38" i="14"/>
  <c r="H6" i="14"/>
  <c r="L26" i="10" s="1"/>
  <c r="E6" i="14"/>
  <c r="D32" i="14"/>
  <c r="E32" i="14"/>
  <c r="H32" i="14"/>
  <c r="L52" i="10" s="1"/>
  <c r="D26" i="14"/>
  <c r="J46" i="10" s="1"/>
  <c r="E26" i="14"/>
  <c r="H26" i="14"/>
  <c r="L46" i="10" s="1"/>
  <c r="D20" i="14"/>
  <c r="J40" i="10" s="1"/>
  <c r="H20" i="14"/>
  <c r="L40" i="10" s="1"/>
  <c r="E20" i="14"/>
  <c r="H12" i="14"/>
  <c r="L32" i="10" s="1"/>
  <c r="E12" i="14"/>
  <c r="D9" i="14"/>
  <c r="H9" i="14"/>
  <c r="L29" i="10" s="1"/>
  <c r="E9" i="14"/>
  <c r="D7" i="14"/>
  <c r="E7" i="14"/>
  <c r="H7" i="14"/>
  <c r="L27" i="10" s="1"/>
  <c r="E5" i="14"/>
  <c r="H4" i="14"/>
  <c r="L24" i="10" s="1"/>
  <c r="E4" i="14"/>
  <c r="E34" i="14"/>
  <c r="H34" i="14"/>
  <c r="L54" i="10" s="1"/>
  <c r="D27" i="14"/>
  <c r="J47" i="10" s="1"/>
  <c r="E27" i="14"/>
  <c r="H27" i="14"/>
  <c r="L47" i="10" s="1"/>
  <c r="D21" i="14"/>
  <c r="J41" i="10" s="1"/>
  <c r="E21" i="14"/>
  <c r="H21" i="14"/>
  <c r="L41" i="10" s="1"/>
  <c r="D13" i="14"/>
  <c r="J33" i="10" s="1"/>
  <c r="H13" i="14"/>
  <c r="L33" i="10" s="1"/>
  <c r="E13" i="14"/>
  <c r="H10" i="14"/>
  <c r="L30" i="10" s="1"/>
  <c r="E10" i="14"/>
  <c r="D8" i="14"/>
  <c r="J28" i="10" s="1"/>
  <c r="H8" i="14"/>
  <c r="L28" i="10" s="1"/>
  <c r="E8" i="14"/>
  <c r="H37" i="14"/>
  <c r="L57" i="10" s="1"/>
  <c r="E37" i="14"/>
  <c r="H36" i="14"/>
  <c r="L56" i="10" s="1"/>
  <c r="E36" i="14"/>
  <c r="E35" i="14"/>
  <c r="H35" i="14"/>
  <c r="L55" i="10" s="1"/>
  <c r="D10" i="14"/>
  <c r="D5" i="14"/>
  <c r="J25" i="10" s="1"/>
  <c r="D12" i="14"/>
  <c r="J32" i="10" s="1"/>
  <c r="D11" i="14"/>
  <c r="J31" i="10" s="1"/>
  <c r="D6" i="14"/>
  <c r="D37" i="14"/>
  <c r="D4" i="14"/>
  <c r="J24" i="10" s="1"/>
  <c r="D38" i="14"/>
  <c r="J58" i="10" s="1"/>
  <c r="D35" i="14"/>
  <c r="J55" i="10" s="1"/>
  <c r="D36" i="14"/>
  <c r="J56" i="10" s="1"/>
  <c r="D34" i="14"/>
  <c r="J54" i="10" s="1"/>
  <c r="J30" i="10"/>
  <c r="J29" i="10"/>
  <c r="J37" i="10"/>
  <c r="J35" i="10"/>
  <c r="J44" i="10"/>
  <c r="J27" i="10"/>
  <c r="J52" i="10"/>
  <c r="J48" i="10"/>
  <c r="J43" i="10"/>
  <c r="J45" i="10"/>
  <c r="J42" i="10"/>
  <c r="J39" i="10"/>
  <c r="J49" i="10"/>
  <c r="J57" i="10"/>
  <c r="J26" i="10"/>
  <c r="J23" i="10" l="1"/>
  <c r="C16" i="10" l="1"/>
  <c r="C17" i="10" s="1"/>
  <c r="E23" i="10" l="1"/>
  <c r="E52" i="10"/>
  <c r="E42" i="10"/>
  <c r="E57" i="10"/>
  <c r="E44" i="10"/>
  <c r="E27" i="10"/>
  <c r="E37" i="10"/>
  <c r="E55" i="10"/>
  <c r="E41" i="10"/>
  <c r="E38" i="10"/>
  <c r="E46" i="10"/>
  <c r="E24" i="10"/>
  <c r="E58" i="10"/>
  <c r="E50" i="10"/>
  <c r="E49" i="10"/>
  <c r="E36" i="10"/>
  <c r="E51" i="10"/>
  <c r="E53" i="10"/>
  <c r="E26" i="10"/>
  <c r="E30" i="10"/>
  <c r="E35" i="10"/>
  <c r="E56" i="10"/>
  <c r="E54" i="10"/>
  <c r="E31" i="10"/>
  <c r="E39" i="10"/>
  <c r="E25" i="10"/>
  <c r="E34" i="10"/>
  <c r="E33" i="10"/>
  <c r="E29" i="10"/>
  <c r="E45" i="10"/>
  <c r="E28" i="10"/>
  <c r="E40" i="10"/>
  <c r="E48" i="10"/>
  <c r="E47" i="10"/>
  <c r="E32" i="10"/>
  <c r="E43" i="10"/>
  <c r="C24" i="10"/>
  <c r="C25" i="10"/>
  <c r="C55" i="10"/>
  <c r="C51" i="10"/>
  <c r="C47" i="10"/>
  <c r="C43" i="10"/>
  <c r="C39" i="10"/>
  <c r="C35" i="10"/>
  <c r="C31" i="10"/>
  <c r="C27" i="10"/>
  <c r="C56" i="10"/>
  <c r="C52" i="10"/>
  <c r="C48" i="10"/>
  <c r="C44" i="10"/>
  <c r="C40" i="10"/>
  <c r="C36" i="10"/>
  <c r="C32" i="10"/>
  <c r="C28" i="10"/>
  <c r="C58" i="10"/>
  <c r="C54" i="10"/>
  <c r="C50" i="10"/>
  <c r="C46" i="10"/>
  <c r="C42" i="10"/>
  <c r="C38" i="10"/>
  <c r="C34" i="10"/>
  <c r="C30" i="10"/>
  <c r="C26" i="10"/>
  <c r="C57" i="10"/>
  <c r="C53" i="10"/>
  <c r="C49" i="10"/>
  <c r="C45" i="10"/>
  <c r="C41" i="10"/>
  <c r="C37" i="10"/>
  <c r="C33" i="10"/>
  <c r="C29" i="10"/>
  <c r="C15" i="10" l="1"/>
  <c r="C18" i="10" s="1"/>
  <c r="C19" i="10" l="1"/>
  <c r="J14" i="14" l="1"/>
  <c r="N34" i="10" s="1"/>
  <c r="G34" i="10" s="1"/>
  <c r="J11" i="14"/>
  <c r="N31" i="10" s="1"/>
  <c r="G31" i="10" s="1"/>
  <c r="J19" i="14"/>
  <c r="N39" i="10" s="1"/>
  <c r="G39" i="10" s="1"/>
  <c r="J34" i="14"/>
  <c r="N54" i="10" s="1"/>
  <c r="G54" i="10" s="1"/>
  <c r="J6" i="14"/>
  <c r="N26" i="10" s="1"/>
  <c r="G26" i="10" s="1"/>
  <c r="J13" i="14"/>
  <c r="N33" i="10" s="1"/>
  <c r="G33" i="10" s="1"/>
  <c r="J15" i="14"/>
  <c r="N35" i="10" s="1"/>
  <c r="G35" i="10" s="1"/>
  <c r="J22" i="14"/>
  <c r="N42" i="10" s="1"/>
  <c r="G42" i="10" s="1"/>
  <c r="J37" i="14"/>
  <c r="N57" i="10" s="1"/>
  <c r="G57" i="10" s="1"/>
  <c r="J21" i="14"/>
  <c r="N41" i="10" s="1"/>
  <c r="G41" i="10" s="1"/>
  <c r="J20" i="14"/>
  <c r="N40" i="10" s="1"/>
  <c r="G40" i="10" s="1"/>
  <c r="J26" i="14"/>
  <c r="N46" i="10" s="1"/>
  <c r="G46" i="10" s="1"/>
  <c r="J4" i="14"/>
  <c r="N24" i="10" s="1"/>
  <c r="G24" i="10" s="1"/>
  <c r="J29" i="14"/>
  <c r="N49" i="10" s="1"/>
  <c r="G49" i="10" s="1"/>
  <c r="J5" i="14"/>
  <c r="N25" i="10" s="1"/>
  <c r="G25" i="10" s="1"/>
  <c r="J16" i="14"/>
  <c r="N36" i="10" s="1"/>
  <c r="G36" i="10" s="1"/>
  <c r="J38" i="14"/>
  <c r="N58" i="10" s="1"/>
  <c r="G58" i="10" s="1"/>
  <c r="J18" i="14"/>
  <c r="N38" i="10" s="1"/>
  <c r="G38" i="10" s="1"/>
  <c r="J31" i="14"/>
  <c r="N51" i="10" s="1"/>
  <c r="G51" i="10" s="1"/>
  <c r="J25" i="14"/>
  <c r="N45" i="10" s="1"/>
  <c r="G45" i="10" s="1"/>
  <c r="J9" i="14"/>
  <c r="N29" i="10" s="1"/>
  <c r="G29" i="10" s="1"/>
  <c r="J32" i="14"/>
  <c r="N52" i="10" s="1"/>
  <c r="G52" i="10" s="1"/>
  <c r="J24" i="14"/>
  <c r="N44" i="10" s="1"/>
  <c r="G44" i="10" s="1"/>
  <c r="J27" i="14"/>
  <c r="N47" i="10" s="1"/>
  <c r="G47" i="10" s="1"/>
  <c r="J12" i="14"/>
  <c r="N32" i="10" s="1"/>
  <c r="G32" i="10" s="1"/>
  <c r="J7" i="14"/>
  <c r="N27" i="10" s="1"/>
  <c r="G27" i="10" s="1"/>
  <c r="J30" i="14"/>
  <c r="N50" i="10" s="1"/>
  <c r="G50" i="10" s="1"/>
  <c r="J10" i="14"/>
  <c r="N30" i="10" s="1"/>
  <c r="G30" i="10" s="1"/>
  <c r="J33" i="14"/>
  <c r="N53" i="10" s="1"/>
  <c r="G53" i="10" s="1"/>
  <c r="J17" i="14"/>
  <c r="N37" i="10" s="1"/>
  <c r="G37" i="10" s="1"/>
  <c r="J36" i="14"/>
  <c r="N56" i="10" s="1"/>
  <c r="G56" i="10" s="1"/>
  <c r="J28" i="14"/>
  <c r="N48" i="10" s="1"/>
  <c r="G48" i="10" s="1"/>
  <c r="J35" i="14"/>
  <c r="N55" i="10" s="1"/>
  <c r="G55" i="10" s="1"/>
  <c r="J23" i="14"/>
  <c r="N43" i="10" s="1"/>
  <c r="G43" i="10" s="1"/>
  <c r="J8" i="14"/>
  <c r="N28" i="10" s="1"/>
  <c r="G28" i="10" s="1"/>
  <c r="K57" i="10"/>
  <c r="D57" i="10" s="1"/>
  <c r="K50" i="10"/>
  <c r="D50" i="10" s="1"/>
  <c r="K55" i="10"/>
  <c r="D55" i="10" s="1"/>
  <c r="K58" i="10"/>
  <c r="D58" i="10" s="1"/>
  <c r="K48" i="10"/>
  <c r="D48" i="10" s="1"/>
  <c r="K29" i="10"/>
  <c r="D29" i="10" s="1"/>
  <c r="K33" i="10"/>
  <c r="D33" i="10" s="1"/>
  <c r="K24" i="10"/>
  <c r="D24" i="10" s="1"/>
  <c r="K51" i="10"/>
  <c r="D51" i="10" s="1"/>
  <c r="K27" i="10"/>
  <c r="D27" i="10" s="1"/>
  <c r="K42" i="10"/>
  <c r="D42" i="10" s="1"/>
  <c r="K53" i="10"/>
  <c r="D53" i="10" s="1"/>
  <c r="K39" i="10"/>
  <c r="D39" i="10" s="1"/>
  <c r="K30" i="10"/>
  <c r="D30" i="10" s="1"/>
  <c r="K38" i="10"/>
  <c r="D38" i="10" s="1"/>
  <c r="K31" i="10"/>
  <c r="D31" i="10" s="1"/>
  <c r="K43" i="10"/>
  <c r="D43" i="10" s="1"/>
  <c r="K47" i="10"/>
  <c r="D47" i="10" s="1"/>
  <c r="K49" i="10"/>
  <c r="D49" i="10" s="1"/>
  <c r="K46" i="10"/>
  <c r="D46" i="10" s="1"/>
  <c r="K45" i="10"/>
  <c r="D45" i="10" s="1"/>
  <c r="K40" i="10"/>
  <c r="D40" i="10" s="1"/>
  <c r="K28" i="10"/>
  <c r="D28" i="10" s="1"/>
  <c r="K35" i="10"/>
  <c r="D35" i="10" s="1"/>
  <c r="K56" i="10"/>
  <c r="D56" i="10" s="1"/>
  <c r="K52" i="10"/>
  <c r="D52" i="10" s="1"/>
  <c r="K54" i="10"/>
  <c r="D54" i="10" s="1"/>
  <c r="K26" i="10"/>
  <c r="D26" i="10" s="1"/>
  <c r="K25" i="10"/>
  <c r="D25" i="10" s="1"/>
  <c r="K36" i="10"/>
  <c r="D36" i="10" s="1"/>
  <c r="K37" i="10"/>
  <c r="D37" i="10" s="1"/>
  <c r="K32" i="10"/>
  <c r="D32" i="10" s="1"/>
  <c r="K44" i="10"/>
  <c r="D44" i="10" s="1"/>
  <c r="K41" i="10"/>
  <c r="D41" i="10" s="1"/>
  <c r="K34" i="10"/>
  <c r="D34" i="10" s="1"/>
  <c r="J3" i="14"/>
  <c r="N23" i="10" s="1"/>
  <c r="K23" i="10"/>
  <c r="Z23" i="10" l="1" a="1"/>
  <c r="Z23" i="10" s="1"/>
  <c r="AJ36" i="10" l="1"/>
  <c r="AJ41" i="10"/>
  <c r="AJ67" i="10"/>
  <c r="AJ42" i="10"/>
  <c r="AJ89" i="10"/>
  <c r="AJ46" i="10"/>
  <c r="AJ30" i="10"/>
  <c r="AJ35" i="10"/>
  <c r="AJ75" i="10"/>
  <c r="AJ62" i="10"/>
  <c r="AJ54" i="10"/>
  <c r="AJ85" i="10"/>
  <c r="AJ51" i="10"/>
  <c r="AJ56" i="10"/>
  <c r="AJ39" i="10"/>
  <c r="AJ66" i="10"/>
  <c r="AJ22" i="10"/>
  <c r="AJ76" i="10"/>
  <c r="AJ61" i="10"/>
  <c r="AJ59" i="10"/>
  <c r="AJ25" i="10"/>
  <c r="AJ78" i="10"/>
  <c r="AJ31" i="10"/>
  <c r="AJ71" i="10"/>
  <c r="AJ65" i="10"/>
  <c r="AJ33" i="10"/>
  <c r="AJ77" i="10"/>
  <c r="AJ93" i="10"/>
  <c r="AJ32" i="10"/>
  <c r="AJ57" i="10"/>
  <c r="AJ88" i="10"/>
  <c r="AJ23" i="10"/>
  <c r="AJ38" i="10"/>
  <c r="AJ96" i="10"/>
  <c r="AJ64" i="10"/>
  <c r="AJ47" i="10"/>
  <c r="AJ83" i="10"/>
  <c r="AJ91" i="10"/>
  <c r="AJ86" i="10"/>
  <c r="AJ80" i="10"/>
  <c r="AJ73" i="10"/>
  <c r="AJ72" i="10"/>
  <c r="AJ95" i="10"/>
  <c r="AJ63" i="10"/>
  <c r="AJ48" i="10"/>
  <c r="AJ50" i="10"/>
  <c r="AJ84" i="10"/>
  <c r="AJ34" i="10"/>
  <c r="AJ81" i="10"/>
  <c r="AJ43" i="10"/>
  <c r="AJ70" i="10"/>
  <c r="AJ94" i="10"/>
  <c r="AJ24" i="10"/>
  <c r="AJ29" i="10"/>
  <c r="AJ87" i="10"/>
  <c r="AJ69" i="10"/>
  <c r="AJ68" i="10"/>
  <c r="AJ92" i="10"/>
  <c r="AJ55" i="10"/>
  <c r="AJ37" i="10"/>
  <c r="AJ60" i="10"/>
  <c r="AJ28" i="10"/>
  <c r="AJ40" i="10"/>
  <c r="AJ27" i="10"/>
  <c r="AJ74" i="10"/>
  <c r="AJ90" i="10"/>
  <c r="AJ58" i="10"/>
  <c r="AJ26" i="10"/>
  <c r="AJ53" i="10"/>
  <c r="AJ52" i="10"/>
  <c r="AJ82" i="10"/>
  <c r="AJ49" i="10"/>
  <c r="AJ79" i="10"/>
  <c r="AJ45" i="10"/>
  <c r="AJ4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<sst xmlns="http://schemas.openxmlformats.org/spreadsheetml/2006/main" count="47" uniqueCount="43">
  <si>
    <t>Flow</t>
  </si>
  <si>
    <t>Depth</t>
  </si>
  <si>
    <t>Area</t>
  </si>
  <si>
    <t>Velocity</t>
  </si>
  <si>
    <t>Instructions</t>
  </si>
  <si>
    <t>1.</t>
  </si>
  <si>
    <t>2.</t>
  </si>
  <si>
    <t>Assumptions:</t>
  </si>
  <si>
    <t>Mild channel slope.</t>
  </si>
  <si>
    <t>Uniform velocity over cross-section.</t>
  </si>
  <si>
    <r>
      <t xml:space="preserve">V </t>
    </r>
    <r>
      <rPr>
        <vertAlign val="subscript"/>
        <sz val="10"/>
        <rFont val="Arial"/>
        <family val="2"/>
      </rPr>
      <t>full</t>
    </r>
    <r>
      <rPr>
        <sz val="11"/>
        <color theme="1"/>
        <rFont val="Calibri"/>
        <family val="2"/>
        <scheme val="minor"/>
      </rPr>
      <t xml:space="preserve"> (fps) =</t>
    </r>
  </si>
  <si>
    <r>
      <t xml:space="preserve">Q </t>
    </r>
    <r>
      <rPr>
        <vertAlign val="subscript"/>
        <sz val="10"/>
        <rFont val="Arial"/>
        <family val="2"/>
      </rPr>
      <t>full</t>
    </r>
    <r>
      <rPr>
        <sz val="11"/>
        <color theme="1"/>
        <rFont val="Calibri"/>
        <family val="2"/>
        <scheme val="minor"/>
      </rPr>
      <t xml:space="preserve"> (cfs) =</t>
    </r>
  </si>
  <si>
    <t>Velocity (fps)</t>
  </si>
  <si>
    <t>Flow (cfs)</t>
  </si>
  <si>
    <t>Area (sf)</t>
  </si>
  <si>
    <t>Height (ft)</t>
  </si>
  <si>
    <t>U/S Elev =</t>
  </si>
  <si>
    <t>Slope (ft/ft) =</t>
  </si>
  <si>
    <t>Manning's n =</t>
  </si>
  <si>
    <t>D/S Elev =</t>
  </si>
  <si>
    <t>Hydraulic Radius</t>
  </si>
  <si>
    <t>Length (ft) =</t>
  </si>
  <si>
    <t>Fill in green cells below.</t>
  </si>
  <si>
    <t>Proportional Hydraulic Elements (%)</t>
  </si>
  <si>
    <t>**note units**</t>
  </si>
  <si>
    <r>
      <t xml:space="preserve">Area </t>
    </r>
    <r>
      <rPr>
        <vertAlign val="subscript"/>
        <sz val="10"/>
        <rFont val="Arial"/>
        <family val="2"/>
      </rPr>
      <t>full</t>
    </r>
    <r>
      <rPr>
        <sz val="10"/>
        <rFont val="Arial"/>
        <family val="2"/>
      </rPr>
      <t xml:space="preserve"> (sf</t>
    </r>
    <r>
      <rPr>
        <sz val="11"/>
        <color theme="1"/>
        <rFont val="Calibri"/>
        <family val="2"/>
        <scheme val="minor"/>
      </rPr>
      <t xml:space="preserve">) = </t>
    </r>
  </si>
  <si>
    <t>Pipe Diameter (ft)</t>
  </si>
  <si>
    <t>Conduit</t>
  </si>
  <si>
    <r>
      <t xml:space="preserve">Hydraulic Radius </t>
    </r>
    <r>
      <rPr>
        <vertAlign val="subscript"/>
        <sz val="10"/>
        <rFont val="Arial"/>
        <family val="2"/>
      </rPr>
      <t>full</t>
    </r>
    <r>
      <rPr>
        <sz val="10"/>
        <rFont val="Arial"/>
        <family val="2"/>
      </rPr>
      <t xml:space="preserve"> (ft</t>
    </r>
    <r>
      <rPr>
        <sz val="11"/>
        <color theme="1"/>
        <rFont val="Calibri"/>
        <family val="2"/>
        <scheme val="minor"/>
      </rPr>
      <t xml:space="preserve">) = </t>
    </r>
  </si>
  <si>
    <t>Hydraulic Equivalencies for Circular Conduits</t>
  </si>
  <si>
    <t>Theta</t>
  </si>
  <si>
    <t>h</t>
  </si>
  <si>
    <t>R</t>
  </si>
  <si>
    <t>Height (in)</t>
  </si>
  <si>
    <t>Depth/Depth_full</t>
  </si>
  <si>
    <t>Area/Area_Full</t>
  </si>
  <si>
    <t>Perimeter/
Perimeter_Full</t>
  </si>
  <si>
    <t>R/R_Full</t>
  </si>
  <si>
    <t>Hydraulic Radius (ft)</t>
  </si>
  <si>
    <t>Top Width (ft)</t>
  </si>
  <si>
    <t>Top Width</t>
  </si>
  <si>
    <t>Known Flows</t>
  </si>
  <si>
    <t>Estimated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</si>
</sst>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64">
    <xf numFmtId="0" fontId="0" fillId="0" borderId="0" xfId="0"/>
    <xf numFmtId="0" fontId="3" fillId="0" borderId="0" xfId="1" applyAlignment="1">
      <alignment vertical="center"/>
    </xf>
    <xf numFmtId="0" fontId="1" fillId="0" borderId="0" xfId="1" applyFont="1" applyAlignment="1">
      <alignment horizontal="right" vertical="center"/>
    </xf>
    <xf numFmtId="0" fontId="1" fillId="0" borderId="0" xfId="1" applyFont="1" applyAlignment="1">
      <alignment vertical="center"/>
    </xf>
    <xf numFmtId="0" fontId="3" fillId="0" borderId="0" xfId="1" applyAlignment="1">
      <alignment horizontal="right" vertical="center"/>
    </xf>
    <xf numFmtId="0" fontId="3" fillId="2" borderId="1" xfId="1" applyFill="1" applyBorder="1" applyAlignment="1" applyProtection="1">
      <alignment vertical="center"/>
      <protection locked="0"/>
    </xf>
    <xf numFmtId="2" fontId="3" fillId="0" borderId="0" xfId="1" applyNumberFormat="1" applyAlignment="1">
      <alignment horizontal="right" vertical="center"/>
    </xf>
    <xf numFmtId="165" fontId="3" fillId="0" borderId="0" xfId="1" applyNumberFormat="1" applyAlignment="1">
      <alignment vertical="center"/>
    </xf>
    <xf numFmtId="2" fontId="3" fillId="0" borderId="0" xfId="1" applyNumberFormat="1" applyAlignment="1">
      <alignment vertical="center"/>
    </xf>
    <xf numFmtId="0" fontId="0" fillId="0" borderId="0" xfId="0" applyAlignment="1">
      <alignment vertical="center"/>
    </xf>
    <xf numFmtId="2" fontId="5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  <xf numFmtId="2" fontId="1" fillId="0" borderId="0" xfId="1" quotePrefix="1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 wrapText="1"/>
    </xf>
    <xf numFmtId="2" fontId="1" fillId="0" borderId="0" xfId="1" applyNumberFormat="1" applyFont="1" applyAlignment="1" applyProtection="1">
      <alignment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2" fontId="3" fillId="0" borderId="7" xfId="1" applyNumberFormat="1" applyBorder="1" applyAlignment="1">
      <alignment vertical="center"/>
    </xf>
    <xf numFmtId="164" fontId="3" fillId="0" borderId="0" xfId="1" applyNumberFormat="1" applyAlignment="1">
      <alignment vertical="center"/>
    </xf>
    <xf numFmtId="164" fontId="3" fillId="0" borderId="8" xfId="1" applyNumberFormat="1" applyBorder="1" applyAlignment="1">
      <alignment vertical="center"/>
    </xf>
    <xf numFmtId="2" fontId="3" fillId="0" borderId="9" xfId="1" applyNumberFormat="1" applyBorder="1" applyAlignment="1">
      <alignment vertical="center"/>
    </xf>
    <xf numFmtId="164" fontId="3" fillId="0" borderId="3" xfId="1" applyNumberFormat="1" applyBorder="1" applyAlignment="1">
      <alignment vertical="center"/>
    </xf>
    <xf numFmtId="164" fontId="3" fillId="0" borderId="10" xfId="1" applyNumberFormat="1" applyBorder="1" applyAlignment="1">
      <alignment vertical="center"/>
    </xf>
    <xf numFmtId="165" fontId="3" fillId="0" borderId="5" xfId="1" applyNumberFormat="1" applyBorder="1" applyAlignment="1">
      <alignment horizontal="center" vertical="center"/>
    </xf>
    <xf numFmtId="165" fontId="3" fillId="0" borderId="13" xfId="1" applyNumberFormat="1" applyBorder="1" applyAlignment="1">
      <alignment vertical="center"/>
    </xf>
    <xf numFmtId="165" fontId="3" fillId="0" borderId="14" xfId="1" applyNumberFormat="1" applyBorder="1" applyAlignment="1">
      <alignment vertical="center"/>
    </xf>
    <xf numFmtId="165" fontId="3" fillId="0" borderId="7" xfId="1" applyNumberFormat="1" applyBorder="1" applyAlignment="1">
      <alignment horizontal="center" vertical="center"/>
    </xf>
    <xf numFmtId="165" fontId="3" fillId="0" borderId="0" xfId="1" applyNumberFormat="1" applyAlignment="1">
      <alignment horizontal="center" vertical="center"/>
    </xf>
    <xf numFmtId="165" fontId="3" fillId="0" borderId="8" xfId="1" applyNumberFormat="1" applyBorder="1" applyAlignment="1">
      <alignment horizontal="center" vertical="center"/>
    </xf>
    <xf numFmtId="165" fontId="3" fillId="0" borderId="9" xfId="1" applyNumberFormat="1" applyBorder="1" applyAlignment="1">
      <alignment horizontal="center" vertical="center"/>
    </xf>
    <xf numFmtId="165" fontId="3" fillId="0" borderId="3" xfId="1" applyNumberFormat="1" applyBorder="1" applyAlignment="1">
      <alignment horizontal="center" vertical="center"/>
    </xf>
    <xf numFmtId="165" fontId="3" fillId="0" borderId="10" xfId="1" applyNumberFormat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3" fillId="0" borderId="8" xfId="1" applyBorder="1" applyAlignment="1">
      <alignment horizontal="center" vertical="center"/>
    </xf>
    <xf numFmtId="2" fontId="3" fillId="0" borderId="4" xfId="1" applyNumberFormat="1" applyBorder="1" applyAlignment="1">
      <alignment vertical="center"/>
    </xf>
    <xf numFmtId="164" fontId="3" fillId="0" borderId="5" xfId="1" applyNumberFormat="1" applyBorder="1" applyAlignment="1">
      <alignment vertical="center"/>
    </xf>
    <xf numFmtId="164" fontId="3" fillId="0" borderId="6" xfId="1" applyNumberFormat="1" applyBorder="1" applyAlignment="1">
      <alignment vertical="center"/>
    </xf>
    <xf numFmtId="165" fontId="3" fillId="0" borderId="4" xfId="1" applyNumberFormat="1" applyBorder="1" applyAlignment="1">
      <alignment horizontal="center" vertical="center"/>
    </xf>
    <xf numFmtId="165" fontId="3" fillId="0" borderId="6" xfId="1" applyNumberFormat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top"/>
    </xf>
    <xf numFmtId="2" fontId="0" fillId="3" borderId="13" xfId="0" applyNumberFormat="1" applyFill="1" applyBorder="1" applyAlignment="1">
      <alignment horizontal="center" vertical="top"/>
    </xf>
    <xf numFmtId="2" fontId="0" fillId="3" borderId="14" xfId="0" applyNumberFormat="1" applyFill="1" applyBorder="1" applyAlignment="1">
      <alignment horizontal="center" vertical="top"/>
    </xf>
    <xf numFmtId="0" fontId="1" fillId="0" borderId="11" xfId="1" applyFont="1" applyBorder="1" applyAlignment="1">
      <alignment horizontal="center" vertical="center"/>
    </xf>
    <xf numFmtId="0" fontId="3" fillId="0" borderId="12" xfId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2" fontId="7" fillId="0" borderId="0" xfId="1" applyNumberFormat="1" applyFont="1" applyAlignment="1">
      <alignment horizontal="left" vertical="top" wrapText="1"/>
    </xf>
    <xf numFmtId="0" fontId="4" fillId="0" borderId="0" xfId="1" applyFont="1" applyAlignment="1" applyProtection="1">
      <alignment horizontal="center" vertical="center"/>
      <protection locked="0"/>
    </xf>
    <xf numFmtId="0" fontId="3" fillId="0" borderId="4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165" fontId="3" fillId="0" borderId="5" xfId="1" applyNumberFormat="1" applyBorder="1" applyAlignment="1">
      <alignment horizontal="center" vertical="center"/>
    </xf>
    <xf numFmtId="165" fontId="3" fillId="0" borderId="0" xfId="1" applyNumberFormat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8" xfId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'Circular Template'!$D$23:$D$58</c:f>
              <c:numCache>
                <c:formatCode>0.000</c:formatCode>
                <c:ptCount val="36"/>
                <c:pt idx="0">
                  <c:v>0</c:v>
                </c:pt>
                <c:pt idx="1">
                  <c:v>0.61275174090819429</c:v>
                </c:pt>
                <c:pt idx="2">
                  <c:v>0.80039436938878061</c:v>
                </c:pt>
                <c:pt idx="3">
                  <c:v>0.96652287537208115</c:v>
                </c:pt>
                <c:pt idx="4">
                  <c:v>1.1179557308384438</c:v>
                </c:pt>
                <c:pt idx="5">
                  <c:v>1.2583687260478074</c:v>
                </c:pt>
                <c:pt idx="6">
                  <c:v>1.3900319483112817</c:v>
                </c:pt>
                <c:pt idx="7">
                  <c:v>1.5144727067493453</c:v>
                </c:pt>
                <c:pt idx="8">
                  <c:v>1.6327813665799773</c:v>
                </c:pt>
                <c:pt idx="9">
                  <c:v>1.7457710744668828</c:v>
                </c:pt>
                <c:pt idx="10">
                  <c:v>1.854068892161701</c:v>
                </c:pt>
                <c:pt idx="11">
                  <c:v>1.9581713775733649</c:v>
                </c:pt>
                <c:pt idx="12">
                  <c:v>2.0584802984756796</c:v>
                </c:pt>
                <c:pt idx="13">
                  <c:v>2.1553265656326634</c:v>
                </c:pt>
                <c:pt idx="14">
                  <c:v>2.248986836483827</c:v>
                </c:pt>
                <c:pt idx="15">
                  <c:v>2.3396953735072206</c:v>
                </c:pt>
                <c:pt idx="16">
                  <c:v>2.4276527254783291</c:v>
                </c:pt>
                <c:pt idx="17">
                  <c:v>2.5130322196944999</c:v>
                </c:pt>
                <c:pt idx="18">
                  <c:v>2.5959849080563773</c:v>
                </c:pt>
                <c:pt idx="19">
                  <c:v>2.6766433971457131</c:v>
                </c:pt>
                <c:pt idx="20">
                  <c:v>3.0492053919338953</c:v>
                </c:pt>
                <c:pt idx="21">
                  <c:v>3.3776174370024883</c:v>
                </c:pt>
                <c:pt idx="22">
                  <c:v>3.6684941036653997</c:v>
                </c:pt>
                <c:pt idx="23">
                  <c:v>3.9261024361241224</c:v>
                </c:pt>
                <c:pt idx="24">
                  <c:v>4.1532692123664372</c:v>
                </c:pt>
                <c:pt idx="25">
                  <c:v>4.3518410552640487</c:v>
                </c:pt>
                <c:pt idx="26">
                  <c:v>4.522926115491738</c:v>
                </c:pt>
                <c:pt idx="27">
                  <c:v>4.6670103191094778</c:v>
                </c:pt>
                <c:pt idx="28">
                  <c:v>4.7839839061600049</c:v>
                </c:pt>
                <c:pt idx="29">
                  <c:v>4.8730803137035323</c:v>
                </c:pt>
                <c:pt idx="30">
                  <c:v>4.9326938776421807</c:v>
                </c:pt>
                <c:pt idx="31">
                  <c:v>4.9599741389795824</c:v>
                </c:pt>
                <c:pt idx="32">
                  <c:v>4.949901700571214</c:v>
                </c:pt>
                <c:pt idx="33">
                  <c:v>4.8928228029207013</c:v>
                </c:pt>
                <c:pt idx="34">
                  <c:v>4.7651924423539711</c:v>
                </c:pt>
                <c:pt idx="35">
                  <c:v>4.3518410552640487</c:v>
                </c:pt>
              </c:numCache>
            </c:numRef>
          </c:xVal>
          <c:yVal>
            <c:numRef>
              <c:f>'Circular Template'!$B$23:$B$58</c:f>
              <c:numCache>
                <c:formatCode>0.000</c:formatCode>
                <c:ptCount val="36"/>
                <c:pt idx="0">
                  <c:v>0</c:v>
                </c:pt>
                <c:pt idx="1">
                  <c:v>1.34E-2</c:v>
                </c:pt>
                <c:pt idx="2">
                  <c:v>2.01E-2</c:v>
                </c:pt>
                <c:pt idx="3">
                  <c:v>2.6800000000000001E-2</c:v>
                </c:pt>
                <c:pt idx="4">
                  <c:v>3.3500000000000002E-2</c:v>
                </c:pt>
                <c:pt idx="5">
                  <c:v>4.02E-2</c:v>
                </c:pt>
                <c:pt idx="6">
                  <c:v>4.6900000000000004E-2</c:v>
                </c:pt>
                <c:pt idx="7">
                  <c:v>5.3600000000000002E-2</c:v>
                </c:pt>
                <c:pt idx="8">
                  <c:v>6.0299999999999992E-2</c:v>
                </c:pt>
                <c:pt idx="9">
                  <c:v>6.7000000000000004E-2</c:v>
                </c:pt>
                <c:pt idx="10">
                  <c:v>7.3700000000000002E-2</c:v>
                </c:pt>
                <c:pt idx="11">
                  <c:v>8.0399999999999999E-2</c:v>
                </c:pt>
                <c:pt idx="12">
                  <c:v>8.7100000000000011E-2</c:v>
                </c:pt>
                <c:pt idx="13">
                  <c:v>9.3800000000000008E-2</c:v>
                </c:pt>
                <c:pt idx="14">
                  <c:v>0.10050000000000001</c:v>
                </c:pt>
                <c:pt idx="15">
                  <c:v>0.1072</c:v>
                </c:pt>
                <c:pt idx="16">
                  <c:v>0.1139</c:v>
                </c:pt>
                <c:pt idx="17">
                  <c:v>0.12059999999999998</c:v>
                </c:pt>
                <c:pt idx="18">
                  <c:v>0.1273</c:v>
                </c:pt>
                <c:pt idx="19">
                  <c:v>0.13400000000000001</c:v>
                </c:pt>
                <c:pt idx="20">
                  <c:v>0.16750000000000001</c:v>
                </c:pt>
                <c:pt idx="21">
                  <c:v>0.20100000000000001</c:v>
                </c:pt>
                <c:pt idx="22">
                  <c:v>0.23450000000000004</c:v>
                </c:pt>
                <c:pt idx="23">
                  <c:v>0.26800000000000002</c:v>
                </c:pt>
                <c:pt idx="24">
                  <c:v>0.30150000000000005</c:v>
                </c:pt>
                <c:pt idx="25">
                  <c:v>0.33500000000000002</c:v>
                </c:pt>
                <c:pt idx="26">
                  <c:v>0.36849999999999999</c:v>
                </c:pt>
                <c:pt idx="27">
                  <c:v>0.40200000000000002</c:v>
                </c:pt>
                <c:pt idx="28">
                  <c:v>0.43550000000000005</c:v>
                </c:pt>
                <c:pt idx="29">
                  <c:v>0.46900000000000008</c:v>
                </c:pt>
                <c:pt idx="30">
                  <c:v>0.50250000000000006</c:v>
                </c:pt>
                <c:pt idx="31">
                  <c:v>0.53600000000000003</c:v>
                </c:pt>
                <c:pt idx="32">
                  <c:v>0.5694999999999999</c:v>
                </c:pt>
                <c:pt idx="33">
                  <c:v>0.60300000000000009</c:v>
                </c:pt>
                <c:pt idx="34">
                  <c:v>0.63650000000000007</c:v>
                </c:pt>
                <c:pt idx="35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A-4B78-AAE3-BBA3BE87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33664"/>
        <c:axId val="200839936"/>
      </c:scatterChart>
      <c:valAx>
        <c:axId val="20083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Velocity (ft/s)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00839936"/>
        <c:crosses val="autoZero"/>
        <c:crossBetween val="midCat"/>
      </c:valAx>
      <c:valAx>
        <c:axId val="200839936"/>
        <c:scaling>
          <c:orientation val="minMax"/>
          <c:max val="6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(ft)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00833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'Circular Template'!$G$23:$G$58</c:f>
              <c:numCache>
                <c:formatCode>0.000</c:formatCode>
                <c:ptCount val="36"/>
                <c:pt idx="0">
                  <c:v>0</c:v>
                </c:pt>
                <c:pt idx="1">
                  <c:v>1.0310858752934696E-3</c:v>
                </c:pt>
                <c:pt idx="2">
                  <c:v>2.4667578737987933E-3</c:v>
                </c:pt>
                <c:pt idx="3">
                  <c:v>4.5720306525209777E-3</c:v>
                </c:pt>
                <c:pt idx="4">
                  <c:v>7.367903900892034E-3</c:v>
                </c:pt>
                <c:pt idx="5">
                  <c:v>1.0867940883588211E-2</c:v>
                </c:pt>
                <c:pt idx="6">
                  <c:v>1.5080756350104528E-2</c:v>
                </c:pt>
                <c:pt idx="7">
                  <c:v>2.0011380505310726E-2</c:v>
                </c:pt>
                <c:pt idx="8">
                  <c:v>2.5662097152435885E-2</c:v>
                </c:pt>
                <c:pt idx="9">
                  <c:v>3.2032999702887088E-2</c:v>
                </c:pt>
                <c:pt idx="10">
                  <c:v>3.9122381002180781E-2</c:v>
                </c:pt>
                <c:pt idx="11">
                  <c:v>4.6927018350945426E-2</c:v>
                </c:pt>
                <c:pt idx="12">
                  <c:v>5.5442388873363585E-2</c:v>
                </c:pt>
                <c:pt idx="13">
                  <c:v>6.4662836627258677E-2</c:v>
                </c:pt>
                <c:pt idx="14">
                  <c:v>7.4581705124185368E-2</c:v>
                </c:pt>
                <c:pt idx="15">
                  <c:v>8.5191444345732004E-2</c:v>
                </c:pt>
                <c:pt idx="16">
                  <c:v>9.6483698499645415E-2</c:v>
                </c:pt>
                <c:pt idx="17">
                  <c:v>0.1084493789282274</c:v>
                </c:pt>
                <c:pt idx="18">
                  <c:v>0.12107872536331192</c:v>
                </c:pt>
                <c:pt idx="19">
                  <c:v>0.13436135788911699</c:v>
                </c:pt>
                <c:pt idx="20">
                  <c:v>0.21017225900870001</c:v>
                </c:pt>
                <c:pt idx="21">
                  <c:v>0.30046533245400309</c:v>
                </c:pt>
                <c:pt idx="22">
                  <c:v>0.40343066733820915</c:v>
                </c:pt>
                <c:pt idx="23">
                  <c:v>0.51704298074642152</c:v>
                </c:pt>
                <c:pt idx="24">
                  <c:v>0.63908464237269469</c:v>
                </c:pt>
                <c:pt idx="25">
                  <c:v>0.76715393336073845</c:v>
                </c:pt>
                <c:pt idx="26">
                  <c:v>0.89866088247070941</c:v>
                </c:pt>
                <c:pt idx="27">
                  <c:v>1.0308097066550852</c:v>
                </c:pt>
                <c:pt idx="28">
                  <c:v>1.1605633946447558</c:v>
                </c:pt>
                <c:pt idx="29">
                  <c:v>1.2845803258878465</c:v>
                </c:pt>
                <c:pt idx="30">
                  <c:v>1.3991011073059818</c:v>
                </c:pt>
                <c:pt idx="31">
                  <c:v>1.4997351278232036</c:v>
                </c:pt>
                <c:pt idx="32">
                  <c:v>1.5810128500151812</c:v>
                </c:pt>
                <c:pt idx="33">
                  <c:v>1.6352612492907608</c:v>
                </c:pt>
                <c:pt idx="34">
                  <c:v>1.6486361240858383</c:v>
                </c:pt>
                <c:pt idx="35">
                  <c:v>1.5343078667214769</c:v>
                </c:pt>
              </c:numCache>
            </c:numRef>
          </c:xVal>
          <c:yVal>
            <c:numRef>
              <c:f>'Circular Template'!$B$23:$B$58</c:f>
              <c:numCache>
                <c:formatCode>0.000</c:formatCode>
                <c:ptCount val="36"/>
                <c:pt idx="0">
                  <c:v>0</c:v>
                </c:pt>
                <c:pt idx="1">
                  <c:v>1.34E-2</c:v>
                </c:pt>
                <c:pt idx="2">
                  <c:v>2.01E-2</c:v>
                </c:pt>
                <c:pt idx="3">
                  <c:v>2.6800000000000001E-2</c:v>
                </c:pt>
                <c:pt idx="4">
                  <c:v>3.3500000000000002E-2</c:v>
                </c:pt>
                <c:pt idx="5">
                  <c:v>4.02E-2</c:v>
                </c:pt>
                <c:pt idx="6">
                  <c:v>4.6900000000000004E-2</c:v>
                </c:pt>
                <c:pt idx="7">
                  <c:v>5.3600000000000002E-2</c:v>
                </c:pt>
                <c:pt idx="8">
                  <c:v>6.0299999999999992E-2</c:v>
                </c:pt>
                <c:pt idx="9">
                  <c:v>6.7000000000000004E-2</c:v>
                </c:pt>
                <c:pt idx="10">
                  <c:v>7.3700000000000002E-2</c:v>
                </c:pt>
                <c:pt idx="11">
                  <c:v>8.0399999999999999E-2</c:v>
                </c:pt>
                <c:pt idx="12">
                  <c:v>8.7100000000000011E-2</c:v>
                </c:pt>
                <c:pt idx="13">
                  <c:v>9.3800000000000008E-2</c:v>
                </c:pt>
                <c:pt idx="14">
                  <c:v>0.10050000000000001</c:v>
                </c:pt>
                <c:pt idx="15">
                  <c:v>0.1072</c:v>
                </c:pt>
                <c:pt idx="16">
                  <c:v>0.1139</c:v>
                </c:pt>
                <c:pt idx="17">
                  <c:v>0.12059999999999998</c:v>
                </c:pt>
                <c:pt idx="18">
                  <c:v>0.1273</c:v>
                </c:pt>
                <c:pt idx="19">
                  <c:v>0.13400000000000001</c:v>
                </c:pt>
                <c:pt idx="20">
                  <c:v>0.16750000000000001</c:v>
                </c:pt>
                <c:pt idx="21">
                  <c:v>0.20100000000000001</c:v>
                </c:pt>
                <c:pt idx="22">
                  <c:v>0.23450000000000004</c:v>
                </c:pt>
                <c:pt idx="23">
                  <c:v>0.26800000000000002</c:v>
                </c:pt>
                <c:pt idx="24">
                  <c:v>0.30150000000000005</c:v>
                </c:pt>
                <c:pt idx="25">
                  <c:v>0.33500000000000002</c:v>
                </c:pt>
                <c:pt idx="26">
                  <c:v>0.36849999999999999</c:v>
                </c:pt>
                <c:pt idx="27">
                  <c:v>0.40200000000000002</c:v>
                </c:pt>
                <c:pt idx="28">
                  <c:v>0.43550000000000005</c:v>
                </c:pt>
                <c:pt idx="29">
                  <c:v>0.46900000000000008</c:v>
                </c:pt>
                <c:pt idx="30">
                  <c:v>0.50250000000000006</c:v>
                </c:pt>
                <c:pt idx="31">
                  <c:v>0.53600000000000003</c:v>
                </c:pt>
                <c:pt idx="32">
                  <c:v>0.5694999999999999</c:v>
                </c:pt>
                <c:pt idx="33">
                  <c:v>0.60300000000000009</c:v>
                </c:pt>
                <c:pt idx="34">
                  <c:v>0.63650000000000007</c:v>
                </c:pt>
                <c:pt idx="35">
                  <c:v>0.67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A65-4DC4-9692-7AA3DE2E2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39344"/>
        <c:axId val="192341744"/>
      </c:scatterChart>
      <c:valAx>
        <c:axId val="19233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41744"/>
        <c:crosses val="autoZero"/>
        <c:crossBetween val="midCat"/>
      </c:valAx>
      <c:valAx>
        <c:axId val="1923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33934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28</xdr:row>
      <xdr:rowOff>44825</xdr:rowOff>
    </xdr:from>
    <xdr:to>
      <xdr:col>23</xdr:col>
      <xdr:colOff>672353</xdr:colOff>
      <xdr:row>56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117662</xdr:colOff>
      <xdr:row>28</xdr:row>
      <xdr:rowOff>23530</xdr:rowOff>
    </xdr:from>
    <xdr:to>
      <xdr:col>32</xdr:col>
      <xdr:colOff>212912</xdr:colOff>
      <xdr:row>55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18D864-90F0-CB3B-CF60-DB5F345ED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J96"/>
  <sheetViews>
    <sheetView tabSelected="1" topLeftCell="A7" zoomScale="70" zoomScaleNormal="70" workbookViewId="0">
      <selection activeCell="C14" sqref="C14"/>
    </sheetView>
  </sheetViews>
  <sheetFormatPr defaultRowHeight="15" x14ac:dyDescent="0.25"/>
  <cols>
    <col min="1" max="1" width="9.140625" style="1"/>
    <col min="2" max="2" width="27.7109375" style="1" customWidth="1"/>
    <col min="3" max="3" width="9.140625" style="1"/>
    <col min="4" max="4" width="12.5703125" style="1" bestFit="1" customWidth="1"/>
    <col min="5" max="5" width="18.140625" style="1" bestFit="1" customWidth="1"/>
    <col min="6" max="6" width="18.140625" style="1" customWidth="1"/>
    <col min="7" max="7" width="11.5703125" style="1" customWidth="1"/>
    <col min="8" max="8" width="3.7109375" style="1" customWidth="1"/>
    <col min="9" max="9" width="8.5703125" style="1" customWidth="1"/>
    <col min="10" max="11" width="9.140625" style="1"/>
    <col min="12" max="12" width="15.140625" style="1" bestFit="1" customWidth="1"/>
    <col min="13" max="13" width="15.140625" style="1" customWidth="1"/>
    <col min="14" max="14" width="9.140625" style="1"/>
    <col min="15" max="15" width="3.7109375" style="1" customWidth="1"/>
    <col min="16" max="16" width="11" style="1" bestFit="1" customWidth="1"/>
    <col min="17" max="18" width="11" style="1" customWidth="1"/>
    <col min="19" max="19" width="9.140625" style="1" bestFit="1" customWidth="1"/>
    <col min="20" max="21" width="9.140625" style="1" customWidth="1"/>
    <col min="22" max="23" width="10.5703125" style="1" customWidth="1"/>
    <col min="24" max="24" width="10.5703125" style="1" bestFit="1" customWidth="1"/>
    <col min="25" max="25" width="9.140625" style="1"/>
    <col min="26" max="26" width="13.140625" style="1" bestFit="1" customWidth="1"/>
    <col min="27" max="27" width="9.140625" style="1"/>
    <col min="28" max="30" width="14.140625" customWidth="1"/>
    <col min="31" max="31" width="12.7109375" customWidth="1"/>
    <col min="32" max="32" width="13.42578125" bestFit="1" customWidth="1"/>
    <col min="33" max="34" width="9.140625" style="1"/>
    <col min="35" max="35" width="12.5703125" style="1" bestFit="1" customWidth="1"/>
    <col min="36" max="264" width="9.140625" style="1"/>
    <col min="265" max="265" width="20.7109375" style="1" customWidth="1"/>
    <col min="266" max="266" width="9.140625" style="1"/>
    <col min="267" max="267" width="10.42578125" style="1" customWidth="1"/>
    <col min="268" max="269" width="9.140625" style="1"/>
    <col min="270" max="270" width="8.42578125" style="1" customWidth="1"/>
    <col min="271" max="271" width="1" style="1" customWidth="1"/>
    <col min="272" max="272" width="22.7109375" style="1" customWidth="1"/>
    <col min="273" max="277" width="9.140625" style="1"/>
    <col min="278" max="278" width="20.140625" style="1" bestFit="1" customWidth="1"/>
    <col min="279" max="520" width="9.140625" style="1"/>
    <col min="521" max="521" width="20.7109375" style="1" customWidth="1"/>
    <col min="522" max="522" width="9.140625" style="1"/>
    <col min="523" max="523" width="10.42578125" style="1" customWidth="1"/>
    <col min="524" max="525" width="9.140625" style="1"/>
    <col min="526" max="526" width="8.42578125" style="1" customWidth="1"/>
    <col min="527" max="527" width="1" style="1" customWidth="1"/>
    <col min="528" max="528" width="22.7109375" style="1" customWidth="1"/>
    <col min="529" max="533" width="9.140625" style="1"/>
    <col min="534" max="534" width="20.140625" style="1" bestFit="1" customWidth="1"/>
    <col min="535" max="776" width="9.140625" style="1"/>
    <col min="777" max="777" width="20.7109375" style="1" customWidth="1"/>
    <col min="778" max="778" width="9.140625" style="1"/>
    <col min="779" max="779" width="10.42578125" style="1" customWidth="1"/>
    <col min="780" max="781" width="9.140625" style="1"/>
    <col min="782" max="782" width="8.42578125" style="1" customWidth="1"/>
    <col min="783" max="783" width="1" style="1" customWidth="1"/>
    <col min="784" max="784" width="22.7109375" style="1" customWidth="1"/>
    <col min="785" max="789" width="9.140625" style="1"/>
    <col min="790" max="790" width="20.140625" style="1" bestFit="1" customWidth="1"/>
    <col min="791" max="1032" width="9.140625" style="1"/>
    <col min="1033" max="1033" width="20.7109375" style="1" customWidth="1"/>
    <col min="1034" max="1034" width="9.140625" style="1"/>
    <col min="1035" max="1035" width="10.42578125" style="1" customWidth="1"/>
    <col min="1036" max="1037" width="9.140625" style="1"/>
    <col min="1038" max="1038" width="8.42578125" style="1" customWidth="1"/>
    <col min="1039" max="1039" width="1" style="1" customWidth="1"/>
    <col min="1040" max="1040" width="22.7109375" style="1" customWidth="1"/>
    <col min="1041" max="1045" width="9.140625" style="1"/>
    <col min="1046" max="1046" width="20.140625" style="1" bestFit="1" customWidth="1"/>
    <col min="1047" max="1288" width="9.140625" style="1"/>
    <col min="1289" max="1289" width="20.7109375" style="1" customWidth="1"/>
    <col min="1290" max="1290" width="9.140625" style="1"/>
    <col min="1291" max="1291" width="10.42578125" style="1" customWidth="1"/>
    <col min="1292" max="1293" width="9.140625" style="1"/>
    <col min="1294" max="1294" width="8.42578125" style="1" customWidth="1"/>
    <col min="1295" max="1295" width="1" style="1" customWidth="1"/>
    <col min="1296" max="1296" width="22.7109375" style="1" customWidth="1"/>
    <col min="1297" max="1301" width="9.140625" style="1"/>
    <col min="1302" max="1302" width="20.140625" style="1" bestFit="1" customWidth="1"/>
    <col min="1303" max="1544" width="9.140625" style="1"/>
    <col min="1545" max="1545" width="20.7109375" style="1" customWidth="1"/>
    <col min="1546" max="1546" width="9.140625" style="1"/>
    <col min="1547" max="1547" width="10.42578125" style="1" customWidth="1"/>
    <col min="1548" max="1549" width="9.140625" style="1"/>
    <col min="1550" max="1550" width="8.42578125" style="1" customWidth="1"/>
    <col min="1551" max="1551" width="1" style="1" customWidth="1"/>
    <col min="1552" max="1552" width="22.7109375" style="1" customWidth="1"/>
    <col min="1553" max="1557" width="9.140625" style="1"/>
    <col min="1558" max="1558" width="20.140625" style="1" bestFit="1" customWidth="1"/>
    <col min="1559" max="1800" width="9.140625" style="1"/>
    <col min="1801" max="1801" width="20.7109375" style="1" customWidth="1"/>
    <col min="1802" max="1802" width="9.140625" style="1"/>
    <col min="1803" max="1803" width="10.42578125" style="1" customWidth="1"/>
    <col min="1804" max="1805" width="9.140625" style="1"/>
    <col min="1806" max="1806" width="8.42578125" style="1" customWidth="1"/>
    <col min="1807" max="1807" width="1" style="1" customWidth="1"/>
    <col min="1808" max="1808" width="22.7109375" style="1" customWidth="1"/>
    <col min="1809" max="1813" width="9.140625" style="1"/>
    <col min="1814" max="1814" width="20.140625" style="1" bestFit="1" customWidth="1"/>
    <col min="1815" max="2056" width="9.140625" style="1"/>
    <col min="2057" max="2057" width="20.7109375" style="1" customWidth="1"/>
    <col min="2058" max="2058" width="9.140625" style="1"/>
    <col min="2059" max="2059" width="10.42578125" style="1" customWidth="1"/>
    <col min="2060" max="2061" width="9.140625" style="1"/>
    <col min="2062" max="2062" width="8.42578125" style="1" customWidth="1"/>
    <col min="2063" max="2063" width="1" style="1" customWidth="1"/>
    <col min="2064" max="2064" width="22.7109375" style="1" customWidth="1"/>
    <col min="2065" max="2069" width="9.140625" style="1"/>
    <col min="2070" max="2070" width="20.140625" style="1" bestFit="1" customWidth="1"/>
    <col min="2071" max="2312" width="9.140625" style="1"/>
    <col min="2313" max="2313" width="20.7109375" style="1" customWidth="1"/>
    <col min="2314" max="2314" width="9.140625" style="1"/>
    <col min="2315" max="2315" width="10.42578125" style="1" customWidth="1"/>
    <col min="2316" max="2317" width="9.140625" style="1"/>
    <col min="2318" max="2318" width="8.42578125" style="1" customWidth="1"/>
    <col min="2319" max="2319" width="1" style="1" customWidth="1"/>
    <col min="2320" max="2320" width="22.7109375" style="1" customWidth="1"/>
    <col min="2321" max="2325" width="9.140625" style="1"/>
    <col min="2326" max="2326" width="20.140625" style="1" bestFit="1" customWidth="1"/>
    <col min="2327" max="2568" width="9.140625" style="1"/>
    <col min="2569" max="2569" width="20.7109375" style="1" customWidth="1"/>
    <col min="2570" max="2570" width="9.140625" style="1"/>
    <col min="2571" max="2571" width="10.42578125" style="1" customWidth="1"/>
    <col min="2572" max="2573" width="9.140625" style="1"/>
    <col min="2574" max="2574" width="8.42578125" style="1" customWidth="1"/>
    <col min="2575" max="2575" width="1" style="1" customWidth="1"/>
    <col min="2576" max="2576" width="22.7109375" style="1" customWidth="1"/>
    <col min="2577" max="2581" width="9.140625" style="1"/>
    <col min="2582" max="2582" width="20.140625" style="1" bestFit="1" customWidth="1"/>
    <col min="2583" max="2824" width="9.140625" style="1"/>
    <col min="2825" max="2825" width="20.7109375" style="1" customWidth="1"/>
    <col min="2826" max="2826" width="9.140625" style="1"/>
    <col min="2827" max="2827" width="10.42578125" style="1" customWidth="1"/>
    <col min="2828" max="2829" width="9.140625" style="1"/>
    <col min="2830" max="2830" width="8.42578125" style="1" customWidth="1"/>
    <col min="2831" max="2831" width="1" style="1" customWidth="1"/>
    <col min="2832" max="2832" width="22.7109375" style="1" customWidth="1"/>
    <col min="2833" max="2837" width="9.140625" style="1"/>
    <col min="2838" max="2838" width="20.140625" style="1" bestFit="1" customWidth="1"/>
    <col min="2839" max="3080" width="9.140625" style="1"/>
    <col min="3081" max="3081" width="20.7109375" style="1" customWidth="1"/>
    <col min="3082" max="3082" width="9.140625" style="1"/>
    <col min="3083" max="3083" width="10.42578125" style="1" customWidth="1"/>
    <col min="3084" max="3085" width="9.140625" style="1"/>
    <col min="3086" max="3086" width="8.42578125" style="1" customWidth="1"/>
    <col min="3087" max="3087" width="1" style="1" customWidth="1"/>
    <col min="3088" max="3088" width="22.7109375" style="1" customWidth="1"/>
    <col min="3089" max="3093" width="9.140625" style="1"/>
    <col min="3094" max="3094" width="20.140625" style="1" bestFit="1" customWidth="1"/>
    <col min="3095" max="3336" width="9.140625" style="1"/>
    <col min="3337" max="3337" width="20.7109375" style="1" customWidth="1"/>
    <col min="3338" max="3338" width="9.140625" style="1"/>
    <col min="3339" max="3339" width="10.42578125" style="1" customWidth="1"/>
    <col min="3340" max="3341" width="9.140625" style="1"/>
    <col min="3342" max="3342" width="8.42578125" style="1" customWidth="1"/>
    <col min="3343" max="3343" width="1" style="1" customWidth="1"/>
    <col min="3344" max="3344" width="22.7109375" style="1" customWidth="1"/>
    <col min="3345" max="3349" width="9.140625" style="1"/>
    <col min="3350" max="3350" width="20.140625" style="1" bestFit="1" customWidth="1"/>
    <col min="3351" max="3592" width="9.140625" style="1"/>
    <col min="3593" max="3593" width="20.7109375" style="1" customWidth="1"/>
    <col min="3594" max="3594" width="9.140625" style="1"/>
    <col min="3595" max="3595" width="10.42578125" style="1" customWidth="1"/>
    <col min="3596" max="3597" width="9.140625" style="1"/>
    <col min="3598" max="3598" width="8.42578125" style="1" customWidth="1"/>
    <col min="3599" max="3599" width="1" style="1" customWidth="1"/>
    <col min="3600" max="3600" width="22.7109375" style="1" customWidth="1"/>
    <col min="3601" max="3605" width="9.140625" style="1"/>
    <col min="3606" max="3606" width="20.140625" style="1" bestFit="1" customWidth="1"/>
    <col min="3607" max="3848" width="9.140625" style="1"/>
    <col min="3849" max="3849" width="20.7109375" style="1" customWidth="1"/>
    <col min="3850" max="3850" width="9.140625" style="1"/>
    <col min="3851" max="3851" width="10.42578125" style="1" customWidth="1"/>
    <col min="3852" max="3853" width="9.140625" style="1"/>
    <col min="3854" max="3854" width="8.42578125" style="1" customWidth="1"/>
    <col min="3855" max="3855" width="1" style="1" customWidth="1"/>
    <col min="3856" max="3856" width="22.7109375" style="1" customWidth="1"/>
    <col min="3857" max="3861" width="9.140625" style="1"/>
    <col min="3862" max="3862" width="20.140625" style="1" bestFit="1" customWidth="1"/>
    <col min="3863" max="4104" width="9.140625" style="1"/>
    <col min="4105" max="4105" width="20.7109375" style="1" customWidth="1"/>
    <col min="4106" max="4106" width="9.140625" style="1"/>
    <col min="4107" max="4107" width="10.42578125" style="1" customWidth="1"/>
    <col min="4108" max="4109" width="9.140625" style="1"/>
    <col min="4110" max="4110" width="8.42578125" style="1" customWidth="1"/>
    <col min="4111" max="4111" width="1" style="1" customWidth="1"/>
    <col min="4112" max="4112" width="22.7109375" style="1" customWidth="1"/>
    <col min="4113" max="4117" width="9.140625" style="1"/>
    <col min="4118" max="4118" width="20.140625" style="1" bestFit="1" customWidth="1"/>
    <col min="4119" max="4360" width="9.140625" style="1"/>
    <col min="4361" max="4361" width="20.7109375" style="1" customWidth="1"/>
    <col min="4362" max="4362" width="9.140625" style="1"/>
    <col min="4363" max="4363" width="10.42578125" style="1" customWidth="1"/>
    <col min="4364" max="4365" width="9.140625" style="1"/>
    <col min="4366" max="4366" width="8.42578125" style="1" customWidth="1"/>
    <col min="4367" max="4367" width="1" style="1" customWidth="1"/>
    <col min="4368" max="4368" width="22.7109375" style="1" customWidth="1"/>
    <col min="4369" max="4373" width="9.140625" style="1"/>
    <col min="4374" max="4374" width="20.140625" style="1" bestFit="1" customWidth="1"/>
    <col min="4375" max="4616" width="9.140625" style="1"/>
    <col min="4617" max="4617" width="20.7109375" style="1" customWidth="1"/>
    <col min="4618" max="4618" width="9.140625" style="1"/>
    <col min="4619" max="4619" width="10.42578125" style="1" customWidth="1"/>
    <col min="4620" max="4621" width="9.140625" style="1"/>
    <col min="4622" max="4622" width="8.42578125" style="1" customWidth="1"/>
    <col min="4623" max="4623" width="1" style="1" customWidth="1"/>
    <col min="4624" max="4624" width="22.7109375" style="1" customWidth="1"/>
    <col min="4625" max="4629" width="9.140625" style="1"/>
    <col min="4630" max="4630" width="20.140625" style="1" bestFit="1" customWidth="1"/>
    <col min="4631" max="4872" width="9.140625" style="1"/>
    <col min="4873" max="4873" width="20.7109375" style="1" customWidth="1"/>
    <col min="4874" max="4874" width="9.140625" style="1"/>
    <col min="4875" max="4875" width="10.42578125" style="1" customWidth="1"/>
    <col min="4876" max="4877" width="9.140625" style="1"/>
    <col min="4878" max="4878" width="8.42578125" style="1" customWidth="1"/>
    <col min="4879" max="4879" width="1" style="1" customWidth="1"/>
    <col min="4880" max="4880" width="22.7109375" style="1" customWidth="1"/>
    <col min="4881" max="4885" width="9.140625" style="1"/>
    <col min="4886" max="4886" width="20.140625" style="1" bestFit="1" customWidth="1"/>
    <col min="4887" max="5128" width="9.140625" style="1"/>
    <col min="5129" max="5129" width="20.7109375" style="1" customWidth="1"/>
    <col min="5130" max="5130" width="9.140625" style="1"/>
    <col min="5131" max="5131" width="10.42578125" style="1" customWidth="1"/>
    <col min="5132" max="5133" width="9.140625" style="1"/>
    <col min="5134" max="5134" width="8.42578125" style="1" customWidth="1"/>
    <col min="5135" max="5135" width="1" style="1" customWidth="1"/>
    <col min="5136" max="5136" width="22.7109375" style="1" customWidth="1"/>
    <col min="5137" max="5141" width="9.140625" style="1"/>
    <col min="5142" max="5142" width="20.140625" style="1" bestFit="1" customWidth="1"/>
    <col min="5143" max="5384" width="9.140625" style="1"/>
    <col min="5385" max="5385" width="20.7109375" style="1" customWidth="1"/>
    <col min="5386" max="5386" width="9.140625" style="1"/>
    <col min="5387" max="5387" width="10.42578125" style="1" customWidth="1"/>
    <col min="5388" max="5389" width="9.140625" style="1"/>
    <col min="5390" max="5390" width="8.42578125" style="1" customWidth="1"/>
    <col min="5391" max="5391" width="1" style="1" customWidth="1"/>
    <col min="5392" max="5392" width="22.7109375" style="1" customWidth="1"/>
    <col min="5393" max="5397" width="9.140625" style="1"/>
    <col min="5398" max="5398" width="20.140625" style="1" bestFit="1" customWidth="1"/>
    <col min="5399" max="5640" width="9.140625" style="1"/>
    <col min="5641" max="5641" width="20.7109375" style="1" customWidth="1"/>
    <col min="5642" max="5642" width="9.140625" style="1"/>
    <col min="5643" max="5643" width="10.42578125" style="1" customWidth="1"/>
    <col min="5644" max="5645" width="9.140625" style="1"/>
    <col min="5646" max="5646" width="8.42578125" style="1" customWidth="1"/>
    <col min="5647" max="5647" width="1" style="1" customWidth="1"/>
    <col min="5648" max="5648" width="22.7109375" style="1" customWidth="1"/>
    <col min="5649" max="5653" width="9.140625" style="1"/>
    <col min="5654" max="5654" width="20.140625" style="1" bestFit="1" customWidth="1"/>
    <col min="5655" max="5896" width="9.140625" style="1"/>
    <col min="5897" max="5897" width="20.7109375" style="1" customWidth="1"/>
    <col min="5898" max="5898" width="9.140625" style="1"/>
    <col min="5899" max="5899" width="10.42578125" style="1" customWidth="1"/>
    <col min="5900" max="5901" width="9.140625" style="1"/>
    <col min="5902" max="5902" width="8.42578125" style="1" customWidth="1"/>
    <col min="5903" max="5903" width="1" style="1" customWidth="1"/>
    <col min="5904" max="5904" width="22.7109375" style="1" customWidth="1"/>
    <col min="5905" max="5909" width="9.140625" style="1"/>
    <col min="5910" max="5910" width="20.140625" style="1" bestFit="1" customWidth="1"/>
    <col min="5911" max="6152" width="9.140625" style="1"/>
    <col min="6153" max="6153" width="20.7109375" style="1" customWidth="1"/>
    <col min="6154" max="6154" width="9.140625" style="1"/>
    <col min="6155" max="6155" width="10.42578125" style="1" customWidth="1"/>
    <col min="6156" max="6157" width="9.140625" style="1"/>
    <col min="6158" max="6158" width="8.42578125" style="1" customWidth="1"/>
    <col min="6159" max="6159" width="1" style="1" customWidth="1"/>
    <col min="6160" max="6160" width="22.7109375" style="1" customWidth="1"/>
    <col min="6161" max="6165" width="9.140625" style="1"/>
    <col min="6166" max="6166" width="20.140625" style="1" bestFit="1" customWidth="1"/>
    <col min="6167" max="6408" width="9.140625" style="1"/>
    <col min="6409" max="6409" width="20.7109375" style="1" customWidth="1"/>
    <col min="6410" max="6410" width="9.140625" style="1"/>
    <col min="6411" max="6411" width="10.42578125" style="1" customWidth="1"/>
    <col min="6412" max="6413" width="9.140625" style="1"/>
    <col min="6414" max="6414" width="8.42578125" style="1" customWidth="1"/>
    <col min="6415" max="6415" width="1" style="1" customWidth="1"/>
    <col min="6416" max="6416" width="22.7109375" style="1" customWidth="1"/>
    <col min="6417" max="6421" width="9.140625" style="1"/>
    <col min="6422" max="6422" width="20.140625" style="1" bestFit="1" customWidth="1"/>
    <col min="6423" max="6664" width="9.140625" style="1"/>
    <col min="6665" max="6665" width="20.7109375" style="1" customWidth="1"/>
    <col min="6666" max="6666" width="9.140625" style="1"/>
    <col min="6667" max="6667" width="10.42578125" style="1" customWidth="1"/>
    <col min="6668" max="6669" width="9.140625" style="1"/>
    <col min="6670" max="6670" width="8.42578125" style="1" customWidth="1"/>
    <col min="6671" max="6671" width="1" style="1" customWidth="1"/>
    <col min="6672" max="6672" width="22.7109375" style="1" customWidth="1"/>
    <col min="6673" max="6677" width="9.140625" style="1"/>
    <col min="6678" max="6678" width="20.140625" style="1" bestFit="1" customWidth="1"/>
    <col min="6679" max="6920" width="9.140625" style="1"/>
    <col min="6921" max="6921" width="20.7109375" style="1" customWidth="1"/>
    <col min="6922" max="6922" width="9.140625" style="1"/>
    <col min="6923" max="6923" width="10.42578125" style="1" customWidth="1"/>
    <col min="6924" max="6925" width="9.140625" style="1"/>
    <col min="6926" max="6926" width="8.42578125" style="1" customWidth="1"/>
    <col min="6927" max="6927" width="1" style="1" customWidth="1"/>
    <col min="6928" max="6928" width="22.7109375" style="1" customWidth="1"/>
    <col min="6929" max="6933" width="9.140625" style="1"/>
    <col min="6934" max="6934" width="20.140625" style="1" bestFit="1" customWidth="1"/>
    <col min="6935" max="7176" width="9.140625" style="1"/>
    <col min="7177" max="7177" width="20.7109375" style="1" customWidth="1"/>
    <col min="7178" max="7178" width="9.140625" style="1"/>
    <col min="7179" max="7179" width="10.42578125" style="1" customWidth="1"/>
    <col min="7180" max="7181" width="9.140625" style="1"/>
    <col min="7182" max="7182" width="8.42578125" style="1" customWidth="1"/>
    <col min="7183" max="7183" width="1" style="1" customWidth="1"/>
    <col min="7184" max="7184" width="22.7109375" style="1" customWidth="1"/>
    <col min="7185" max="7189" width="9.140625" style="1"/>
    <col min="7190" max="7190" width="20.140625" style="1" bestFit="1" customWidth="1"/>
    <col min="7191" max="7432" width="9.140625" style="1"/>
    <col min="7433" max="7433" width="20.7109375" style="1" customWidth="1"/>
    <col min="7434" max="7434" width="9.140625" style="1"/>
    <col min="7435" max="7435" width="10.42578125" style="1" customWidth="1"/>
    <col min="7436" max="7437" width="9.140625" style="1"/>
    <col min="7438" max="7438" width="8.42578125" style="1" customWidth="1"/>
    <col min="7439" max="7439" width="1" style="1" customWidth="1"/>
    <col min="7440" max="7440" width="22.7109375" style="1" customWidth="1"/>
    <col min="7441" max="7445" width="9.140625" style="1"/>
    <col min="7446" max="7446" width="20.140625" style="1" bestFit="1" customWidth="1"/>
    <col min="7447" max="7688" width="9.140625" style="1"/>
    <col min="7689" max="7689" width="20.7109375" style="1" customWidth="1"/>
    <col min="7690" max="7690" width="9.140625" style="1"/>
    <col min="7691" max="7691" width="10.42578125" style="1" customWidth="1"/>
    <col min="7692" max="7693" width="9.140625" style="1"/>
    <col min="7694" max="7694" width="8.42578125" style="1" customWidth="1"/>
    <col min="7695" max="7695" width="1" style="1" customWidth="1"/>
    <col min="7696" max="7696" width="22.7109375" style="1" customWidth="1"/>
    <col min="7697" max="7701" width="9.140625" style="1"/>
    <col min="7702" max="7702" width="20.140625" style="1" bestFit="1" customWidth="1"/>
    <col min="7703" max="7944" width="9.140625" style="1"/>
    <col min="7945" max="7945" width="20.7109375" style="1" customWidth="1"/>
    <col min="7946" max="7946" width="9.140625" style="1"/>
    <col min="7947" max="7947" width="10.42578125" style="1" customWidth="1"/>
    <col min="7948" max="7949" width="9.140625" style="1"/>
    <col min="7950" max="7950" width="8.42578125" style="1" customWidth="1"/>
    <col min="7951" max="7951" width="1" style="1" customWidth="1"/>
    <col min="7952" max="7952" width="22.7109375" style="1" customWidth="1"/>
    <col min="7953" max="7957" width="9.140625" style="1"/>
    <col min="7958" max="7958" width="20.140625" style="1" bestFit="1" customWidth="1"/>
    <col min="7959" max="8200" width="9.140625" style="1"/>
    <col min="8201" max="8201" width="20.7109375" style="1" customWidth="1"/>
    <col min="8202" max="8202" width="9.140625" style="1"/>
    <col min="8203" max="8203" width="10.42578125" style="1" customWidth="1"/>
    <col min="8204" max="8205" width="9.140625" style="1"/>
    <col min="8206" max="8206" width="8.42578125" style="1" customWidth="1"/>
    <col min="8207" max="8207" width="1" style="1" customWidth="1"/>
    <col min="8208" max="8208" width="22.7109375" style="1" customWidth="1"/>
    <col min="8209" max="8213" width="9.140625" style="1"/>
    <col min="8214" max="8214" width="20.140625" style="1" bestFit="1" customWidth="1"/>
    <col min="8215" max="8456" width="9.140625" style="1"/>
    <col min="8457" max="8457" width="20.7109375" style="1" customWidth="1"/>
    <col min="8458" max="8458" width="9.140625" style="1"/>
    <col min="8459" max="8459" width="10.42578125" style="1" customWidth="1"/>
    <col min="8460" max="8461" width="9.140625" style="1"/>
    <col min="8462" max="8462" width="8.42578125" style="1" customWidth="1"/>
    <col min="8463" max="8463" width="1" style="1" customWidth="1"/>
    <col min="8464" max="8464" width="22.7109375" style="1" customWidth="1"/>
    <col min="8465" max="8469" width="9.140625" style="1"/>
    <col min="8470" max="8470" width="20.140625" style="1" bestFit="1" customWidth="1"/>
    <col min="8471" max="8712" width="9.140625" style="1"/>
    <col min="8713" max="8713" width="20.7109375" style="1" customWidth="1"/>
    <col min="8714" max="8714" width="9.140625" style="1"/>
    <col min="8715" max="8715" width="10.42578125" style="1" customWidth="1"/>
    <col min="8716" max="8717" width="9.140625" style="1"/>
    <col min="8718" max="8718" width="8.42578125" style="1" customWidth="1"/>
    <col min="8719" max="8719" width="1" style="1" customWidth="1"/>
    <col min="8720" max="8720" width="22.7109375" style="1" customWidth="1"/>
    <col min="8721" max="8725" width="9.140625" style="1"/>
    <col min="8726" max="8726" width="20.140625" style="1" bestFit="1" customWidth="1"/>
    <col min="8727" max="8968" width="9.140625" style="1"/>
    <col min="8969" max="8969" width="20.7109375" style="1" customWidth="1"/>
    <col min="8970" max="8970" width="9.140625" style="1"/>
    <col min="8971" max="8971" width="10.42578125" style="1" customWidth="1"/>
    <col min="8972" max="8973" width="9.140625" style="1"/>
    <col min="8974" max="8974" width="8.42578125" style="1" customWidth="1"/>
    <col min="8975" max="8975" width="1" style="1" customWidth="1"/>
    <col min="8976" max="8976" width="22.7109375" style="1" customWidth="1"/>
    <col min="8977" max="8981" width="9.140625" style="1"/>
    <col min="8982" max="8982" width="20.140625" style="1" bestFit="1" customWidth="1"/>
    <col min="8983" max="9224" width="9.140625" style="1"/>
    <col min="9225" max="9225" width="20.7109375" style="1" customWidth="1"/>
    <col min="9226" max="9226" width="9.140625" style="1"/>
    <col min="9227" max="9227" width="10.42578125" style="1" customWidth="1"/>
    <col min="9228" max="9229" width="9.140625" style="1"/>
    <col min="9230" max="9230" width="8.42578125" style="1" customWidth="1"/>
    <col min="9231" max="9231" width="1" style="1" customWidth="1"/>
    <col min="9232" max="9232" width="22.7109375" style="1" customWidth="1"/>
    <col min="9233" max="9237" width="9.140625" style="1"/>
    <col min="9238" max="9238" width="20.140625" style="1" bestFit="1" customWidth="1"/>
    <col min="9239" max="9480" width="9.140625" style="1"/>
    <col min="9481" max="9481" width="20.7109375" style="1" customWidth="1"/>
    <col min="9482" max="9482" width="9.140625" style="1"/>
    <col min="9483" max="9483" width="10.42578125" style="1" customWidth="1"/>
    <col min="9484" max="9485" width="9.140625" style="1"/>
    <col min="9486" max="9486" width="8.42578125" style="1" customWidth="1"/>
    <col min="9487" max="9487" width="1" style="1" customWidth="1"/>
    <col min="9488" max="9488" width="22.7109375" style="1" customWidth="1"/>
    <col min="9489" max="9493" width="9.140625" style="1"/>
    <col min="9494" max="9494" width="20.140625" style="1" bestFit="1" customWidth="1"/>
    <col min="9495" max="9736" width="9.140625" style="1"/>
    <col min="9737" max="9737" width="20.7109375" style="1" customWidth="1"/>
    <col min="9738" max="9738" width="9.140625" style="1"/>
    <col min="9739" max="9739" width="10.42578125" style="1" customWidth="1"/>
    <col min="9740" max="9741" width="9.140625" style="1"/>
    <col min="9742" max="9742" width="8.42578125" style="1" customWidth="1"/>
    <col min="9743" max="9743" width="1" style="1" customWidth="1"/>
    <col min="9744" max="9744" width="22.7109375" style="1" customWidth="1"/>
    <col min="9745" max="9749" width="9.140625" style="1"/>
    <col min="9750" max="9750" width="20.140625" style="1" bestFit="1" customWidth="1"/>
    <col min="9751" max="9992" width="9.140625" style="1"/>
    <col min="9993" max="9993" width="20.7109375" style="1" customWidth="1"/>
    <col min="9994" max="9994" width="9.140625" style="1"/>
    <col min="9995" max="9995" width="10.42578125" style="1" customWidth="1"/>
    <col min="9996" max="9997" width="9.140625" style="1"/>
    <col min="9998" max="9998" width="8.42578125" style="1" customWidth="1"/>
    <col min="9999" max="9999" width="1" style="1" customWidth="1"/>
    <col min="10000" max="10000" width="22.7109375" style="1" customWidth="1"/>
    <col min="10001" max="10005" width="9.140625" style="1"/>
    <col min="10006" max="10006" width="20.140625" style="1" bestFit="1" customWidth="1"/>
    <col min="10007" max="10248" width="9.140625" style="1"/>
    <col min="10249" max="10249" width="20.7109375" style="1" customWidth="1"/>
    <col min="10250" max="10250" width="9.140625" style="1"/>
    <col min="10251" max="10251" width="10.42578125" style="1" customWidth="1"/>
    <col min="10252" max="10253" width="9.140625" style="1"/>
    <col min="10254" max="10254" width="8.42578125" style="1" customWidth="1"/>
    <col min="10255" max="10255" width="1" style="1" customWidth="1"/>
    <col min="10256" max="10256" width="22.7109375" style="1" customWidth="1"/>
    <col min="10257" max="10261" width="9.140625" style="1"/>
    <col min="10262" max="10262" width="20.140625" style="1" bestFit="1" customWidth="1"/>
    <col min="10263" max="10504" width="9.140625" style="1"/>
    <col min="10505" max="10505" width="20.7109375" style="1" customWidth="1"/>
    <col min="10506" max="10506" width="9.140625" style="1"/>
    <col min="10507" max="10507" width="10.42578125" style="1" customWidth="1"/>
    <col min="10508" max="10509" width="9.140625" style="1"/>
    <col min="10510" max="10510" width="8.42578125" style="1" customWidth="1"/>
    <col min="10511" max="10511" width="1" style="1" customWidth="1"/>
    <col min="10512" max="10512" width="22.7109375" style="1" customWidth="1"/>
    <col min="10513" max="10517" width="9.140625" style="1"/>
    <col min="10518" max="10518" width="20.140625" style="1" bestFit="1" customWidth="1"/>
    <col min="10519" max="10760" width="9.140625" style="1"/>
    <col min="10761" max="10761" width="20.7109375" style="1" customWidth="1"/>
    <col min="10762" max="10762" width="9.140625" style="1"/>
    <col min="10763" max="10763" width="10.42578125" style="1" customWidth="1"/>
    <col min="10764" max="10765" width="9.140625" style="1"/>
    <col min="10766" max="10766" width="8.42578125" style="1" customWidth="1"/>
    <col min="10767" max="10767" width="1" style="1" customWidth="1"/>
    <col min="10768" max="10768" width="22.7109375" style="1" customWidth="1"/>
    <col min="10769" max="10773" width="9.140625" style="1"/>
    <col min="10774" max="10774" width="20.140625" style="1" bestFit="1" customWidth="1"/>
    <col min="10775" max="11016" width="9.140625" style="1"/>
    <col min="11017" max="11017" width="20.7109375" style="1" customWidth="1"/>
    <col min="11018" max="11018" width="9.140625" style="1"/>
    <col min="11019" max="11019" width="10.42578125" style="1" customWidth="1"/>
    <col min="11020" max="11021" width="9.140625" style="1"/>
    <col min="11022" max="11022" width="8.42578125" style="1" customWidth="1"/>
    <col min="11023" max="11023" width="1" style="1" customWidth="1"/>
    <col min="11024" max="11024" width="22.7109375" style="1" customWidth="1"/>
    <col min="11025" max="11029" width="9.140625" style="1"/>
    <col min="11030" max="11030" width="20.140625" style="1" bestFit="1" customWidth="1"/>
    <col min="11031" max="11272" width="9.140625" style="1"/>
    <col min="11273" max="11273" width="20.7109375" style="1" customWidth="1"/>
    <col min="11274" max="11274" width="9.140625" style="1"/>
    <col min="11275" max="11275" width="10.42578125" style="1" customWidth="1"/>
    <col min="11276" max="11277" width="9.140625" style="1"/>
    <col min="11278" max="11278" width="8.42578125" style="1" customWidth="1"/>
    <col min="11279" max="11279" width="1" style="1" customWidth="1"/>
    <col min="11280" max="11280" width="22.7109375" style="1" customWidth="1"/>
    <col min="11281" max="11285" width="9.140625" style="1"/>
    <col min="11286" max="11286" width="20.140625" style="1" bestFit="1" customWidth="1"/>
    <col min="11287" max="11528" width="9.140625" style="1"/>
    <col min="11529" max="11529" width="20.7109375" style="1" customWidth="1"/>
    <col min="11530" max="11530" width="9.140625" style="1"/>
    <col min="11531" max="11531" width="10.42578125" style="1" customWidth="1"/>
    <col min="11532" max="11533" width="9.140625" style="1"/>
    <col min="11534" max="11534" width="8.42578125" style="1" customWidth="1"/>
    <col min="11535" max="11535" width="1" style="1" customWidth="1"/>
    <col min="11536" max="11536" width="22.7109375" style="1" customWidth="1"/>
    <col min="11537" max="11541" width="9.140625" style="1"/>
    <col min="11542" max="11542" width="20.140625" style="1" bestFit="1" customWidth="1"/>
    <col min="11543" max="11784" width="9.140625" style="1"/>
    <col min="11785" max="11785" width="20.7109375" style="1" customWidth="1"/>
    <col min="11786" max="11786" width="9.140625" style="1"/>
    <col min="11787" max="11787" width="10.42578125" style="1" customWidth="1"/>
    <col min="11788" max="11789" width="9.140625" style="1"/>
    <col min="11790" max="11790" width="8.42578125" style="1" customWidth="1"/>
    <col min="11791" max="11791" width="1" style="1" customWidth="1"/>
    <col min="11792" max="11792" width="22.7109375" style="1" customWidth="1"/>
    <col min="11793" max="11797" width="9.140625" style="1"/>
    <col min="11798" max="11798" width="20.140625" style="1" bestFit="1" customWidth="1"/>
    <col min="11799" max="12040" width="9.140625" style="1"/>
    <col min="12041" max="12041" width="20.7109375" style="1" customWidth="1"/>
    <col min="12042" max="12042" width="9.140625" style="1"/>
    <col min="12043" max="12043" width="10.42578125" style="1" customWidth="1"/>
    <col min="12044" max="12045" width="9.140625" style="1"/>
    <col min="12046" max="12046" width="8.42578125" style="1" customWidth="1"/>
    <col min="12047" max="12047" width="1" style="1" customWidth="1"/>
    <col min="12048" max="12048" width="22.7109375" style="1" customWidth="1"/>
    <col min="12049" max="12053" width="9.140625" style="1"/>
    <col min="12054" max="12054" width="20.140625" style="1" bestFit="1" customWidth="1"/>
    <col min="12055" max="12296" width="9.140625" style="1"/>
    <col min="12297" max="12297" width="20.7109375" style="1" customWidth="1"/>
    <col min="12298" max="12298" width="9.140625" style="1"/>
    <col min="12299" max="12299" width="10.42578125" style="1" customWidth="1"/>
    <col min="12300" max="12301" width="9.140625" style="1"/>
    <col min="12302" max="12302" width="8.42578125" style="1" customWidth="1"/>
    <col min="12303" max="12303" width="1" style="1" customWidth="1"/>
    <col min="12304" max="12304" width="22.7109375" style="1" customWidth="1"/>
    <col min="12305" max="12309" width="9.140625" style="1"/>
    <col min="12310" max="12310" width="20.140625" style="1" bestFit="1" customWidth="1"/>
    <col min="12311" max="12552" width="9.140625" style="1"/>
    <col min="12553" max="12553" width="20.7109375" style="1" customWidth="1"/>
    <col min="12554" max="12554" width="9.140625" style="1"/>
    <col min="12555" max="12555" width="10.42578125" style="1" customWidth="1"/>
    <col min="12556" max="12557" width="9.140625" style="1"/>
    <col min="12558" max="12558" width="8.42578125" style="1" customWidth="1"/>
    <col min="12559" max="12559" width="1" style="1" customWidth="1"/>
    <col min="12560" max="12560" width="22.7109375" style="1" customWidth="1"/>
    <col min="12561" max="12565" width="9.140625" style="1"/>
    <col min="12566" max="12566" width="20.140625" style="1" bestFit="1" customWidth="1"/>
    <col min="12567" max="12808" width="9.140625" style="1"/>
    <col min="12809" max="12809" width="20.7109375" style="1" customWidth="1"/>
    <col min="12810" max="12810" width="9.140625" style="1"/>
    <col min="12811" max="12811" width="10.42578125" style="1" customWidth="1"/>
    <col min="12812" max="12813" width="9.140625" style="1"/>
    <col min="12814" max="12814" width="8.42578125" style="1" customWidth="1"/>
    <col min="12815" max="12815" width="1" style="1" customWidth="1"/>
    <col min="12816" max="12816" width="22.7109375" style="1" customWidth="1"/>
    <col min="12817" max="12821" width="9.140625" style="1"/>
    <col min="12822" max="12822" width="20.140625" style="1" bestFit="1" customWidth="1"/>
    <col min="12823" max="13064" width="9.140625" style="1"/>
    <col min="13065" max="13065" width="20.7109375" style="1" customWidth="1"/>
    <col min="13066" max="13066" width="9.140625" style="1"/>
    <col min="13067" max="13067" width="10.42578125" style="1" customWidth="1"/>
    <col min="13068" max="13069" width="9.140625" style="1"/>
    <col min="13070" max="13070" width="8.42578125" style="1" customWidth="1"/>
    <col min="13071" max="13071" width="1" style="1" customWidth="1"/>
    <col min="13072" max="13072" width="22.7109375" style="1" customWidth="1"/>
    <col min="13073" max="13077" width="9.140625" style="1"/>
    <col min="13078" max="13078" width="20.140625" style="1" bestFit="1" customWidth="1"/>
    <col min="13079" max="13320" width="9.140625" style="1"/>
    <col min="13321" max="13321" width="20.7109375" style="1" customWidth="1"/>
    <col min="13322" max="13322" width="9.140625" style="1"/>
    <col min="13323" max="13323" width="10.42578125" style="1" customWidth="1"/>
    <col min="13324" max="13325" width="9.140625" style="1"/>
    <col min="13326" max="13326" width="8.42578125" style="1" customWidth="1"/>
    <col min="13327" max="13327" width="1" style="1" customWidth="1"/>
    <col min="13328" max="13328" width="22.7109375" style="1" customWidth="1"/>
    <col min="13329" max="13333" width="9.140625" style="1"/>
    <col min="13334" max="13334" width="20.140625" style="1" bestFit="1" customWidth="1"/>
    <col min="13335" max="13576" width="9.140625" style="1"/>
    <col min="13577" max="13577" width="20.7109375" style="1" customWidth="1"/>
    <col min="13578" max="13578" width="9.140625" style="1"/>
    <col min="13579" max="13579" width="10.42578125" style="1" customWidth="1"/>
    <col min="13580" max="13581" width="9.140625" style="1"/>
    <col min="13582" max="13582" width="8.42578125" style="1" customWidth="1"/>
    <col min="13583" max="13583" width="1" style="1" customWidth="1"/>
    <col min="13584" max="13584" width="22.7109375" style="1" customWidth="1"/>
    <col min="13585" max="13589" width="9.140625" style="1"/>
    <col min="13590" max="13590" width="20.140625" style="1" bestFit="1" customWidth="1"/>
    <col min="13591" max="13832" width="9.140625" style="1"/>
    <col min="13833" max="13833" width="20.7109375" style="1" customWidth="1"/>
    <col min="13834" max="13834" width="9.140625" style="1"/>
    <col min="13835" max="13835" width="10.42578125" style="1" customWidth="1"/>
    <col min="13836" max="13837" width="9.140625" style="1"/>
    <col min="13838" max="13838" width="8.42578125" style="1" customWidth="1"/>
    <col min="13839" max="13839" width="1" style="1" customWidth="1"/>
    <col min="13840" max="13840" width="22.7109375" style="1" customWidth="1"/>
    <col min="13841" max="13845" width="9.140625" style="1"/>
    <col min="13846" max="13846" width="20.140625" style="1" bestFit="1" customWidth="1"/>
    <col min="13847" max="14088" width="9.140625" style="1"/>
    <col min="14089" max="14089" width="20.7109375" style="1" customWidth="1"/>
    <col min="14090" max="14090" width="9.140625" style="1"/>
    <col min="14091" max="14091" width="10.42578125" style="1" customWidth="1"/>
    <col min="14092" max="14093" width="9.140625" style="1"/>
    <col min="14094" max="14094" width="8.42578125" style="1" customWidth="1"/>
    <col min="14095" max="14095" width="1" style="1" customWidth="1"/>
    <col min="14096" max="14096" width="22.7109375" style="1" customWidth="1"/>
    <col min="14097" max="14101" width="9.140625" style="1"/>
    <col min="14102" max="14102" width="20.140625" style="1" bestFit="1" customWidth="1"/>
    <col min="14103" max="14344" width="9.140625" style="1"/>
    <col min="14345" max="14345" width="20.7109375" style="1" customWidth="1"/>
    <col min="14346" max="14346" width="9.140625" style="1"/>
    <col min="14347" max="14347" width="10.42578125" style="1" customWidth="1"/>
    <col min="14348" max="14349" width="9.140625" style="1"/>
    <col min="14350" max="14350" width="8.42578125" style="1" customWidth="1"/>
    <col min="14351" max="14351" width="1" style="1" customWidth="1"/>
    <col min="14352" max="14352" width="22.7109375" style="1" customWidth="1"/>
    <col min="14353" max="14357" width="9.140625" style="1"/>
    <col min="14358" max="14358" width="20.140625" style="1" bestFit="1" customWidth="1"/>
    <col min="14359" max="14600" width="9.140625" style="1"/>
    <col min="14601" max="14601" width="20.7109375" style="1" customWidth="1"/>
    <col min="14602" max="14602" width="9.140625" style="1"/>
    <col min="14603" max="14603" width="10.42578125" style="1" customWidth="1"/>
    <col min="14604" max="14605" width="9.140625" style="1"/>
    <col min="14606" max="14606" width="8.42578125" style="1" customWidth="1"/>
    <col min="14607" max="14607" width="1" style="1" customWidth="1"/>
    <col min="14608" max="14608" width="22.7109375" style="1" customWidth="1"/>
    <col min="14609" max="14613" width="9.140625" style="1"/>
    <col min="14614" max="14614" width="20.140625" style="1" bestFit="1" customWidth="1"/>
    <col min="14615" max="14856" width="9.140625" style="1"/>
    <col min="14857" max="14857" width="20.7109375" style="1" customWidth="1"/>
    <col min="14858" max="14858" width="9.140625" style="1"/>
    <col min="14859" max="14859" width="10.42578125" style="1" customWidth="1"/>
    <col min="14860" max="14861" width="9.140625" style="1"/>
    <col min="14862" max="14862" width="8.42578125" style="1" customWidth="1"/>
    <col min="14863" max="14863" width="1" style="1" customWidth="1"/>
    <col min="14864" max="14864" width="22.7109375" style="1" customWidth="1"/>
    <col min="14865" max="14869" width="9.140625" style="1"/>
    <col min="14870" max="14870" width="20.140625" style="1" bestFit="1" customWidth="1"/>
    <col min="14871" max="15112" width="9.140625" style="1"/>
    <col min="15113" max="15113" width="20.7109375" style="1" customWidth="1"/>
    <col min="15114" max="15114" width="9.140625" style="1"/>
    <col min="15115" max="15115" width="10.42578125" style="1" customWidth="1"/>
    <col min="15116" max="15117" width="9.140625" style="1"/>
    <col min="15118" max="15118" width="8.42578125" style="1" customWidth="1"/>
    <col min="15119" max="15119" width="1" style="1" customWidth="1"/>
    <col min="15120" max="15120" width="22.7109375" style="1" customWidth="1"/>
    <col min="15121" max="15125" width="9.140625" style="1"/>
    <col min="15126" max="15126" width="20.140625" style="1" bestFit="1" customWidth="1"/>
    <col min="15127" max="15368" width="9.140625" style="1"/>
    <col min="15369" max="15369" width="20.7109375" style="1" customWidth="1"/>
    <col min="15370" max="15370" width="9.140625" style="1"/>
    <col min="15371" max="15371" width="10.42578125" style="1" customWidth="1"/>
    <col min="15372" max="15373" width="9.140625" style="1"/>
    <col min="15374" max="15374" width="8.42578125" style="1" customWidth="1"/>
    <col min="15375" max="15375" width="1" style="1" customWidth="1"/>
    <col min="15376" max="15376" width="22.7109375" style="1" customWidth="1"/>
    <col min="15377" max="15381" width="9.140625" style="1"/>
    <col min="15382" max="15382" width="20.140625" style="1" bestFit="1" customWidth="1"/>
    <col min="15383" max="15624" width="9.140625" style="1"/>
    <col min="15625" max="15625" width="20.7109375" style="1" customWidth="1"/>
    <col min="15626" max="15626" width="9.140625" style="1"/>
    <col min="15627" max="15627" width="10.42578125" style="1" customWidth="1"/>
    <col min="15628" max="15629" width="9.140625" style="1"/>
    <col min="15630" max="15630" width="8.42578125" style="1" customWidth="1"/>
    <col min="15631" max="15631" width="1" style="1" customWidth="1"/>
    <col min="15632" max="15632" width="22.7109375" style="1" customWidth="1"/>
    <col min="15633" max="15637" width="9.140625" style="1"/>
    <col min="15638" max="15638" width="20.140625" style="1" bestFit="1" customWidth="1"/>
    <col min="15639" max="15880" width="9.140625" style="1"/>
    <col min="15881" max="15881" width="20.7109375" style="1" customWidth="1"/>
    <col min="15882" max="15882" width="9.140625" style="1"/>
    <col min="15883" max="15883" width="10.42578125" style="1" customWidth="1"/>
    <col min="15884" max="15885" width="9.140625" style="1"/>
    <col min="15886" max="15886" width="8.42578125" style="1" customWidth="1"/>
    <col min="15887" max="15887" width="1" style="1" customWidth="1"/>
    <col min="15888" max="15888" width="22.7109375" style="1" customWidth="1"/>
    <col min="15889" max="15893" width="9.140625" style="1"/>
    <col min="15894" max="15894" width="20.140625" style="1" bestFit="1" customWidth="1"/>
    <col min="15895" max="16136" width="9.140625" style="1"/>
    <col min="16137" max="16137" width="20.7109375" style="1" customWidth="1"/>
    <col min="16138" max="16138" width="9.140625" style="1"/>
    <col min="16139" max="16139" width="10.42578125" style="1" customWidth="1"/>
    <col min="16140" max="16141" width="9.140625" style="1"/>
    <col min="16142" max="16142" width="8.42578125" style="1" customWidth="1"/>
    <col min="16143" max="16143" width="1" style="1" customWidth="1"/>
    <col min="16144" max="16144" width="22.7109375" style="1" customWidth="1"/>
    <col min="16145" max="16149" width="9.140625" style="1"/>
    <col min="16150" max="16150" width="20.140625" style="1" bestFit="1" customWidth="1"/>
    <col min="16151" max="16384" width="9.140625" style="1"/>
  </cols>
  <sheetData>
    <row r="1" spans="2:32" ht="13.5" customHeight="1" x14ac:dyDescent="0.25"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</row>
    <row r="2" spans="2:32" ht="14.25" customHeight="1" x14ac:dyDescent="0.25">
      <c r="B2" s="10" t="s">
        <v>4</v>
      </c>
      <c r="C2" s="6" t="s">
        <v>5</v>
      </c>
      <c r="D2" s="8" t="s">
        <v>22</v>
      </c>
      <c r="E2" s="8"/>
      <c r="F2" s="8"/>
      <c r="G2" s="8"/>
      <c r="H2" s="8"/>
      <c r="I2" s="8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spans="2:32" s="9" customFormat="1" ht="14.25" customHeight="1" x14ac:dyDescent="0.25">
      <c r="B3" s="8"/>
      <c r="C3" s="6"/>
      <c r="D3" s="11"/>
      <c r="E3" s="11"/>
      <c r="F3" s="11"/>
      <c r="G3" s="8"/>
      <c r="H3" s="8"/>
      <c r="I3" s="8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2:32" s="9" customFormat="1" ht="14.25" customHeight="1" x14ac:dyDescent="0.25">
      <c r="B4" s="8"/>
      <c r="C4" s="6"/>
      <c r="D4" s="8"/>
      <c r="E4" s="8"/>
      <c r="F4" s="8"/>
      <c r="G4" s="8"/>
      <c r="H4" s="8"/>
      <c r="I4" s="8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2:32" s="9" customFormat="1" ht="14.25" customHeight="1" x14ac:dyDescent="0.25">
      <c r="B5" s="10" t="s">
        <v>7</v>
      </c>
      <c r="C5" s="12" t="s">
        <v>5</v>
      </c>
      <c r="D5" s="8" t="s">
        <v>8</v>
      </c>
      <c r="E5" s="8"/>
      <c r="F5" s="8"/>
      <c r="G5" s="8"/>
      <c r="H5" s="8"/>
      <c r="I5" s="8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</row>
    <row r="6" spans="2:32" s="9" customFormat="1" ht="14.25" customHeight="1" x14ac:dyDescent="0.25">
      <c r="B6" s="8"/>
      <c r="C6" s="6" t="s">
        <v>6</v>
      </c>
      <c r="D6" s="8" t="s">
        <v>9</v>
      </c>
      <c r="E6" s="8"/>
      <c r="F6" s="8"/>
      <c r="G6" s="8"/>
      <c r="H6" s="8"/>
      <c r="I6" s="8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</row>
    <row r="7" spans="2:32" s="9" customFormat="1" ht="33.6" customHeight="1" x14ac:dyDescent="0.25">
      <c r="H7" s="8"/>
      <c r="I7" s="8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</row>
    <row r="8" spans="2:32" ht="18" customHeight="1" thickBot="1" x14ac:dyDescent="0.3">
      <c r="B8" s="57" t="s">
        <v>27</v>
      </c>
      <c r="C8" s="57"/>
      <c r="J8"/>
      <c r="K8"/>
      <c r="L8"/>
      <c r="M8"/>
      <c r="N8"/>
      <c r="O8"/>
      <c r="P8"/>
      <c r="AB8" s="1"/>
      <c r="AC8" s="1"/>
      <c r="AD8" s="1"/>
      <c r="AE8" s="1"/>
      <c r="AF8" s="1"/>
    </row>
    <row r="9" spans="2:32" ht="14.25" customHeight="1" thickBot="1" x14ac:dyDescent="0.3">
      <c r="B9" s="13" t="s">
        <v>26</v>
      </c>
      <c r="C9" s="5">
        <v>0.67</v>
      </c>
      <c r="D9" s="3"/>
      <c r="E9" s="3"/>
      <c r="F9" s="3"/>
      <c r="J9"/>
      <c r="K9"/>
      <c r="L9"/>
      <c r="M9"/>
      <c r="N9"/>
      <c r="O9"/>
      <c r="P9"/>
      <c r="AB9" s="1"/>
      <c r="AC9" s="1"/>
      <c r="AD9" s="1"/>
      <c r="AE9" s="1"/>
      <c r="AF9" s="1"/>
    </row>
    <row r="10" spans="2:32" ht="15.75" thickBot="1" x14ac:dyDescent="0.3">
      <c r="B10" s="4" t="s">
        <v>16</v>
      </c>
      <c r="C10" s="5">
        <v>682.19</v>
      </c>
      <c r="D10" s="3"/>
      <c r="E10" s="3"/>
      <c r="F10" s="3"/>
      <c r="J10"/>
      <c r="K10"/>
      <c r="L10"/>
      <c r="M10"/>
      <c r="N10"/>
      <c r="O10"/>
      <c r="P10"/>
      <c r="AB10" s="1"/>
      <c r="AC10" s="1"/>
      <c r="AD10" s="1"/>
      <c r="AE10" s="1"/>
      <c r="AF10" s="1"/>
    </row>
    <row r="11" spans="2:32" ht="15.75" thickBot="1" x14ac:dyDescent="0.3">
      <c r="B11" s="6" t="s">
        <v>19</v>
      </c>
      <c r="C11" s="5">
        <v>681.07</v>
      </c>
      <c r="D11" s="3"/>
      <c r="E11" s="3"/>
      <c r="F11" s="3"/>
      <c r="J11"/>
      <c r="K11"/>
      <c r="L11"/>
      <c r="M11"/>
      <c r="N11"/>
      <c r="O11"/>
      <c r="P11"/>
      <c r="AB11" s="1"/>
      <c r="AC11" s="1"/>
      <c r="AD11" s="1"/>
      <c r="AE11" s="1"/>
      <c r="AF11" s="1"/>
    </row>
    <row r="12" spans="2:32" ht="15.75" thickBot="1" x14ac:dyDescent="0.3">
      <c r="B12" s="4" t="s">
        <v>21</v>
      </c>
      <c r="C12" s="5">
        <v>99.65</v>
      </c>
      <c r="J12"/>
      <c r="K12"/>
      <c r="L12"/>
      <c r="M12"/>
      <c r="N12"/>
      <c r="O12"/>
      <c r="P12"/>
      <c r="AB12" s="1"/>
      <c r="AC12" s="1"/>
      <c r="AD12" s="1"/>
      <c r="AE12" s="1"/>
      <c r="AF12" s="1"/>
    </row>
    <row r="13" spans="2:32" ht="15.75" thickBot="1" x14ac:dyDescent="0.3">
      <c r="B13" s="4" t="s">
        <v>18</v>
      </c>
      <c r="C13" s="5">
        <v>1.0999999999999999E-2</v>
      </c>
      <c r="J13"/>
      <c r="K13"/>
      <c r="L13"/>
      <c r="M13"/>
      <c r="N13"/>
      <c r="O13"/>
      <c r="P13"/>
      <c r="AB13" s="1"/>
      <c r="AC13" s="1"/>
      <c r="AD13" s="1"/>
      <c r="AE13" s="1"/>
      <c r="AF13" s="1"/>
    </row>
    <row r="14" spans="2:32" x14ac:dyDescent="0.25">
      <c r="B14" s="4"/>
      <c r="C14" s="4"/>
      <c r="D14" s="3"/>
      <c r="E14" s="3"/>
      <c r="F14" s="3"/>
      <c r="J14"/>
      <c r="K14"/>
      <c r="L14"/>
      <c r="M14"/>
      <c r="N14"/>
      <c r="O14"/>
      <c r="P14"/>
      <c r="AB14" s="1"/>
      <c r="AC14" s="1"/>
      <c r="AD14" s="1"/>
      <c r="AE14" s="1"/>
      <c r="AF14" s="1"/>
    </row>
    <row r="15" spans="2:32" x14ac:dyDescent="0.25">
      <c r="B15" s="4" t="s">
        <v>17</v>
      </c>
      <c r="C15" s="1">
        <f>(C10-C11)/C12</f>
        <v>1.1239337681886648E-2</v>
      </c>
      <c r="D15" s="3"/>
      <c r="E15" s="3"/>
      <c r="F15" s="3"/>
      <c r="J15"/>
      <c r="K15"/>
      <c r="L15"/>
      <c r="M15"/>
      <c r="N15"/>
      <c r="O15"/>
      <c r="P15"/>
      <c r="AB15" s="1"/>
      <c r="AC15" s="1"/>
      <c r="AD15" s="1"/>
      <c r="AE15" s="1"/>
      <c r="AF15" s="1"/>
    </row>
    <row r="16" spans="2:32" ht="15.75" x14ac:dyDescent="0.25">
      <c r="B16" s="2" t="s">
        <v>25</v>
      </c>
      <c r="C16" s="18">
        <f>PI()*(C9/2)^2</f>
        <v>0.35256523554911462</v>
      </c>
      <c r="J16"/>
      <c r="K16"/>
      <c r="L16"/>
      <c r="M16"/>
      <c r="N16"/>
      <c r="O16"/>
      <c r="P16"/>
      <c r="AB16" s="1"/>
      <c r="AC16" s="1"/>
      <c r="AD16" s="1"/>
      <c r="AE16" s="1"/>
      <c r="AF16" s="1"/>
    </row>
    <row r="17" spans="1:36" ht="15.75" x14ac:dyDescent="0.25">
      <c r="B17" s="2" t="s">
        <v>28</v>
      </c>
      <c r="C17" s="18">
        <f>C16/(PI()*C9)</f>
        <v>0.16750000000000004</v>
      </c>
      <c r="J17"/>
      <c r="K17"/>
      <c r="L17"/>
      <c r="M17"/>
      <c r="N17"/>
      <c r="O17"/>
      <c r="P17"/>
      <c r="AB17" s="1"/>
      <c r="AC17" s="1"/>
      <c r="AD17" s="1"/>
      <c r="AE17" s="1"/>
      <c r="AF17" s="1"/>
    </row>
    <row r="18" spans="1:36" ht="15.75" x14ac:dyDescent="0.25">
      <c r="B18" s="4" t="s">
        <v>10</v>
      </c>
      <c r="C18" s="8">
        <f>(1.486/C13)*(C15^0.5)*C17^(2/3)</f>
        <v>4.3518410552640487</v>
      </c>
      <c r="J18"/>
      <c r="K18"/>
      <c r="L18"/>
      <c r="M18"/>
      <c r="N18"/>
      <c r="O18"/>
      <c r="P18"/>
      <c r="AB18" s="1"/>
      <c r="AC18" s="1"/>
      <c r="AD18" s="1"/>
      <c r="AE18" s="1"/>
      <c r="AF18" s="1"/>
    </row>
    <row r="19" spans="1:36" ht="15.75" x14ac:dyDescent="0.25">
      <c r="B19" s="4" t="s">
        <v>11</v>
      </c>
      <c r="C19" s="8">
        <f>C18*C16</f>
        <v>1.5343078667214769</v>
      </c>
      <c r="D19" s="3" t="s">
        <v>24</v>
      </c>
      <c r="E19" s="3"/>
      <c r="F19" s="3"/>
      <c r="J19"/>
      <c r="K19"/>
      <c r="L19"/>
      <c r="M19"/>
      <c r="N19"/>
      <c r="O19"/>
      <c r="P19"/>
      <c r="AB19" s="1"/>
      <c r="AC19" s="1"/>
      <c r="AD19" s="1"/>
      <c r="AE19" s="1"/>
      <c r="AF19" s="1"/>
    </row>
    <row r="20" spans="1:36" ht="15.75" thickBot="1" x14ac:dyDescent="0.3">
      <c r="R20"/>
      <c r="S20"/>
      <c r="T20"/>
      <c r="U20"/>
      <c r="V20"/>
      <c r="AB20" s="1"/>
      <c r="AC20" s="1"/>
      <c r="AD20" s="1"/>
      <c r="AE20" s="1"/>
      <c r="AF20" s="1"/>
    </row>
    <row r="21" spans="1:36" ht="30" customHeight="1" thickBot="1" x14ac:dyDescent="0.3">
      <c r="A21" s="49" t="s">
        <v>33</v>
      </c>
      <c r="B21" s="58" t="s">
        <v>15</v>
      </c>
      <c r="C21" s="60" t="s">
        <v>14</v>
      </c>
      <c r="D21" s="54" t="s">
        <v>12</v>
      </c>
      <c r="E21" s="51" t="s">
        <v>38</v>
      </c>
      <c r="F21" s="51" t="s">
        <v>39</v>
      </c>
      <c r="G21" s="55" t="s">
        <v>13</v>
      </c>
      <c r="I21" s="53" t="s">
        <v>23</v>
      </c>
      <c r="J21" s="54"/>
      <c r="K21" s="54"/>
      <c r="L21" s="54"/>
      <c r="M21" s="54"/>
      <c r="N21" s="55"/>
      <c r="R21"/>
      <c r="S21"/>
      <c r="T21"/>
      <c r="U21"/>
      <c r="V21"/>
      <c r="AB21" s="1"/>
      <c r="AC21" s="1"/>
      <c r="AD21" s="1"/>
      <c r="AE21" s="1"/>
      <c r="AF21" s="1"/>
      <c r="AI21" s="3" t="s">
        <v>41</v>
      </c>
      <c r="AJ21" s="3" t="s">
        <v>42</v>
      </c>
    </row>
    <row r="22" spans="1:36" ht="18" customHeight="1" thickBot="1" x14ac:dyDescent="0.3">
      <c r="A22" s="50"/>
      <c r="B22" s="59"/>
      <c r="C22" s="61"/>
      <c r="D22" s="62"/>
      <c r="E22" s="52"/>
      <c r="F22" s="52"/>
      <c r="G22" s="63"/>
      <c r="I22" s="37" t="s">
        <v>1</v>
      </c>
      <c r="J22" s="38" t="s">
        <v>2</v>
      </c>
      <c r="K22" s="38" t="s">
        <v>3</v>
      </c>
      <c r="L22" s="39" t="s">
        <v>20</v>
      </c>
      <c r="M22" s="39" t="s">
        <v>40</v>
      </c>
      <c r="N22" s="40" t="s">
        <v>0</v>
      </c>
      <c r="R22"/>
      <c r="S22"/>
      <c r="T22"/>
      <c r="U22"/>
      <c r="V22"/>
      <c r="AB22" s="1"/>
      <c r="AC22" s="1"/>
      <c r="AD22" s="1"/>
      <c r="AE22" s="1"/>
      <c r="AF22" s="1"/>
      <c r="AI22" s="46">
        <v>0</v>
      </c>
      <c r="AJ22" s="1">
        <f>AI22^4*$Z$23+AI22^3*$AA$23+AI22^2*$AB$23+AI22*$AC$23+$AD$23</f>
        <v>2.9859916346068494E-2</v>
      </c>
    </row>
    <row r="23" spans="1:36" ht="14.25" customHeight="1" x14ac:dyDescent="0.25">
      <c r="A23" s="29">
        <f>B23*12</f>
        <v>0</v>
      </c>
      <c r="B23" s="44">
        <f t="shared" ref="B23:B58" si="0">I23*$C$9</f>
        <v>0</v>
      </c>
      <c r="C23" s="28">
        <v>0</v>
      </c>
      <c r="D23" s="28">
        <v>0</v>
      </c>
      <c r="E23" s="28">
        <f>L23*$C$17</f>
        <v>0</v>
      </c>
      <c r="F23" s="28">
        <f>$C$9*M23</f>
        <v>8.2084946478877543E-17</v>
      </c>
      <c r="G23" s="45">
        <v>0</v>
      </c>
      <c r="H23" s="7"/>
      <c r="I23" s="41">
        <f>'Proportional Element Table'!A3</f>
        <v>0</v>
      </c>
      <c r="J23" s="42">
        <f>'Proportional Element Table'!D3</f>
        <v>0</v>
      </c>
      <c r="K23" s="42">
        <f>'Proportional Element Table'!I3</f>
        <v>0</v>
      </c>
      <c r="L23" s="42">
        <f>'Proportional Element Table'!H3</f>
        <v>0</v>
      </c>
      <c r="M23" s="42">
        <f>'Proportional Element Table'!F3</f>
        <v>1.22514845490862E-16</v>
      </c>
      <c r="N23" s="43">
        <f>'Proportional Element Table'!J3</f>
        <v>0</v>
      </c>
      <c r="R23"/>
      <c r="S23"/>
      <c r="T23"/>
      <c r="U23"/>
      <c r="V23"/>
      <c r="Z23" s="1" cm="1">
        <f t="array" ref="Z23:AD23">LINEST(B23:B58,(G23:G58)^{1,2,3,4},TRUE,FALSE)</f>
        <v>-0.22498653057631735</v>
      </c>
      <c r="AA23" s="1">
        <v>0.94691308577218136</v>
      </c>
      <c r="AB23" s="1">
        <v>-1.2894709250758389</v>
      </c>
      <c r="AC23" s="1">
        <v>0.92145509880039178</v>
      </c>
      <c r="AD23" s="1">
        <v>2.9859916346068494E-2</v>
      </c>
      <c r="AE23" s="1"/>
      <c r="AF23" s="1"/>
      <c r="AI23" s="47">
        <v>5</v>
      </c>
      <c r="AJ23" s="1">
        <f t="shared" ref="AJ23:AJ86" si="1">AI23^4*$Z$23+AI23^3*$AA$23+AI23^2*$AB$23+AI23*$AC$23+$AD$23</f>
        <v>-49.852083605223626</v>
      </c>
    </row>
    <row r="24" spans="1:36" x14ac:dyDescent="0.25">
      <c r="A24" s="29">
        <f t="shared" ref="A24:A58" si="2">B24*12</f>
        <v>0.1608</v>
      </c>
      <c r="B24" s="31">
        <f t="shared" si="0"/>
        <v>1.34E-2</v>
      </c>
      <c r="C24" s="32">
        <f>J24*$C$16</f>
        <v>1.6827139059045978E-3</v>
      </c>
      <c r="D24" s="32">
        <f>K24*$C$18</f>
        <v>0.61275174090819429</v>
      </c>
      <c r="E24" s="32">
        <f t="shared" ref="E24:E58" si="3">L24*$C$17</f>
        <v>8.8497724614546736E-3</v>
      </c>
      <c r="F24" s="32">
        <f t="shared" ref="F24:F58" si="4">$C$9*M24</f>
        <v>0.18760000000000021</v>
      </c>
      <c r="G24" s="33">
        <f>N24*$C$19</f>
        <v>1.0310858752934696E-3</v>
      </c>
      <c r="I24" s="22">
        <f>'Proportional Element Table'!A4</f>
        <v>0.02</v>
      </c>
      <c r="J24" s="23">
        <f>'Proportional Element Table'!D4</f>
        <v>4.7727731955301781E-3</v>
      </c>
      <c r="K24" s="23">
        <f>'Proportional Element Table'!I4</f>
        <v>0.14080287701845201</v>
      </c>
      <c r="L24" s="23">
        <f>'Proportional Element Table'!H4</f>
        <v>5.2834462456445803E-2</v>
      </c>
      <c r="M24" s="23">
        <f>'Proportional Element Table'!F4</f>
        <v>0.2800000000000003</v>
      </c>
      <c r="N24" s="24">
        <f>'Proportional Element Table'!J4</f>
        <v>6.7202019728719988E-4</v>
      </c>
      <c r="R24"/>
      <c r="S24"/>
      <c r="T24"/>
      <c r="U24"/>
      <c r="V24"/>
      <c r="AB24" s="1"/>
      <c r="AC24" s="1"/>
      <c r="AD24" s="1"/>
      <c r="AE24" s="1"/>
      <c r="AF24" s="1"/>
      <c r="AI24" s="47">
        <v>10</v>
      </c>
      <c r="AJ24" s="1">
        <f t="shared" si="1"/>
        <v>-1422.654901594226</v>
      </c>
    </row>
    <row r="25" spans="1:36" x14ac:dyDescent="0.25">
      <c r="A25" s="29">
        <f t="shared" si="2"/>
        <v>0.2412</v>
      </c>
      <c r="B25" s="31">
        <f t="shared" si="0"/>
        <v>2.01E-2</v>
      </c>
      <c r="C25" s="32">
        <f t="shared" ref="C25:C58" si="5">J25*$C$16</f>
        <v>3.081928069637131E-3</v>
      </c>
      <c r="D25" s="32">
        <f t="shared" ref="D25:D58" si="6">K25*$C$18</f>
        <v>0.80039436938878061</v>
      </c>
      <c r="E25" s="32">
        <f t="shared" si="3"/>
        <v>1.3211779324218277E-2</v>
      </c>
      <c r="F25" s="32">
        <f t="shared" si="4"/>
        <v>0.2285868762637088</v>
      </c>
      <c r="G25" s="33">
        <f t="shared" ref="G25:G58" si="7">N25*$C$19</f>
        <v>2.4667578737987933E-3</v>
      </c>
      <c r="I25" s="22">
        <f>'Proportional Element Table'!A5</f>
        <v>0.03</v>
      </c>
      <c r="J25" s="23">
        <f>'Proportional Element Table'!D5</f>
        <v>8.7414406154851833E-3</v>
      </c>
      <c r="K25" s="23">
        <f>'Proportional Element Table'!I5</f>
        <v>0.1839208645776739</v>
      </c>
      <c r="L25" s="23">
        <f>'Proportional Element Table'!H5</f>
        <v>7.8876294472944919E-2</v>
      </c>
      <c r="M25" s="23">
        <f>'Proportional Element Table'!F5</f>
        <v>0.34117444218463999</v>
      </c>
      <c r="N25" s="24">
        <f>'Proportional Element Table'!J5</f>
        <v>1.6077333156544287E-3</v>
      </c>
      <c r="R25"/>
      <c r="S25"/>
      <c r="T25"/>
      <c r="U25"/>
      <c r="V25"/>
      <c r="AB25" s="1"/>
      <c r="AC25" s="1"/>
      <c r="AD25" s="1"/>
      <c r="AE25" s="1"/>
      <c r="AF25" s="1"/>
      <c r="AI25" s="47">
        <v>15</v>
      </c>
      <c r="AJ25" s="1">
        <f t="shared" si="1"/>
        <v>-8470.390717688666</v>
      </c>
    </row>
    <row r="26" spans="1:36" x14ac:dyDescent="0.25">
      <c r="A26" s="29">
        <f t="shared" si="2"/>
        <v>0.3216</v>
      </c>
      <c r="B26" s="31">
        <f t="shared" si="0"/>
        <v>2.6800000000000001E-2</v>
      </c>
      <c r="C26" s="32">
        <f t="shared" si="5"/>
        <v>4.7303905256881676E-3</v>
      </c>
      <c r="D26" s="32">
        <f t="shared" si="6"/>
        <v>0.96652287537208115</v>
      </c>
      <c r="E26" s="32">
        <f t="shared" si="3"/>
        <v>1.7531677768093515E-2</v>
      </c>
      <c r="F26" s="32">
        <f t="shared" si="4"/>
        <v>0.26258530042635692</v>
      </c>
      <c r="G26" s="33">
        <f t="shared" si="7"/>
        <v>4.5720306525209777E-3</v>
      </c>
      <c r="I26" s="22">
        <f>'Proportional Element Table'!A6</f>
        <v>0.04</v>
      </c>
      <c r="J26" s="23">
        <f>'Proportional Element Table'!D6</f>
        <v>1.3417064556352703E-2</v>
      </c>
      <c r="K26" s="23">
        <f>'Proportional Element Table'!I6</f>
        <v>0.22209516917051952</v>
      </c>
      <c r="L26" s="23">
        <f>'Proportional Element Table'!H6</f>
        <v>0.10466673294384185</v>
      </c>
      <c r="M26" s="23">
        <f>'Proportional Element Table'!F6</f>
        <v>0.39191835884530879</v>
      </c>
      <c r="N26" s="24">
        <f>'Proportional Element Table'!J6</f>
        <v>2.9798652224149349E-3</v>
      </c>
      <c r="R26"/>
      <c r="S26"/>
      <c r="T26"/>
      <c r="U26"/>
      <c r="V26"/>
      <c r="AB26" s="1"/>
      <c r="AC26" s="1"/>
      <c r="AD26" s="1"/>
      <c r="AE26" s="1"/>
      <c r="AF26" s="1"/>
      <c r="AI26" s="47">
        <v>20</v>
      </c>
      <c r="AJ26" s="1">
        <f t="shared" si="1"/>
        <v>-28919.869614171308</v>
      </c>
    </row>
    <row r="27" spans="1:36" x14ac:dyDescent="0.25">
      <c r="A27" s="29">
        <f t="shared" si="2"/>
        <v>0.40200000000000002</v>
      </c>
      <c r="B27" s="31">
        <f t="shared" si="0"/>
        <v>3.3500000000000002E-2</v>
      </c>
      <c r="C27" s="32">
        <f t="shared" si="5"/>
        <v>6.5905148993388651E-3</v>
      </c>
      <c r="D27" s="32">
        <f t="shared" si="6"/>
        <v>1.1179557308384438</v>
      </c>
      <c r="E27" s="32">
        <f t="shared" si="3"/>
        <v>2.1809322959810376E-2</v>
      </c>
      <c r="F27" s="32">
        <f t="shared" si="4"/>
        <v>0.29204622921722545</v>
      </c>
      <c r="G27" s="33">
        <f t="shared" si="7"/>
        <v>7.367903900892034E-3</v>
      </c>
      <c r="I27" s="22">
        <f>'Proportional Element Table'!A7</f>
        <v>4.9999999999999996E-2</v>
      </c>
      <c r="J27" s="23">
        <f>'Proportional Element Table'!D7</f>
        <v>1.8693036734249324E-2</v>
      </c>
      <c r="K27" s="23">
        <f>'Proportional Element Table'!I7</f>
        <v>0.25689259250085633</v>
      </c>
      <c r="L27" s="23">
        <f>'Proportional Element Table'!H7</f>
        <v>0.13020491319289773</v>
      </c>
      <c r="M27" s="23">
        <f>'Proportional Element Table'!F7</f>
        <v>0.43588989435406778</v>
      </c>
      <c r="N27" s="24">
        <f>'Proportional Element Table'!J7</f>
        <v>4.8021026683750497E-3</v>
      </c>
      <c r="R27"/>
      <c r="S27"/>
      <c r="T27"/>
      <c r="U27"/>
      <c r="V27"/>
      <c r="AB27" s="1"/>
      <c r="AC27" s="1"/>
      <c r="AD27" s="1"/>
      <c r="AE27" s="1"/>
      <c r="AF27" s="1"/>
      <c r="AI27" s="47">
        <v>25</v>
      </c>
      <c r="AJ27" s="1">
        <f t="shared" si="1"/>
        <v>-73872.699631969663</v>
      </c>
    </row>
    <row r="28" spans="1:36" x14ac:dyDescent="0.25">
      <c r="A28" s="29">
        <f t="shared" si="2"/>
        <v>0.4824</v>
      </c>
      <c r="B28" s="31">
        <f t="shared" si="0"/>
        <v>4.02E-2</v>
      </c>
      <c r="C28" s="32">
        <f t="shared" si="5"/>
        <v>8.63653129533936E-3</v>
      </c>
      <c r="D28" s="32">
        <f t="shared" si="6"/>
        <v>1.2583687260478074</v>
      </c>
      <c r="E28" s="32">
        <f t="shared" si="3"/>
        <v>2.6044567409857566E-2</v>
      </c>
      <c r="F28" s="32">
        <f t="shared" si="4"/>
        <v>0.31823236793261639</v>
      </c>
      <c r="G28" s="33">
        <f t="shared" si="7"/>
        <v>1.0867940883588211E-2</v>
      </c>
      <c r="I28" s="22">
        <f>'Proportional Element Table'!A8</f>
        <v>0.06</v>
      </c>
      <c r="J28" s="23">
        <f>'Proportional Element Table'!D8</f>
        <v>2.4496264590262575E-2</v>
      </c>
      <c r="K28" s="23">
        <f>'Proportional Element Table'!I8</f>
        <v>0.28915778634094796</v>
      </c>
      <c r="L28" s="23">
        <f>'Proportional Element Table'!H8</f>
        <v>0.15548995468571677</v>
      </c>
      <c r="M28" s="23">
        <f>'Proportional Element Table'!F8</f>
        <v>0.47497368348151697</v>
      </c>
      <c r="N28" s="24">
        <f>'Proportional Element Table'!J8</f>
        <v>7.0832856425424749E-3</v>
      </c>
      <c r="AI28" s="47">
        <v>30</v>
      </c>
      <c r="AJ28" s="1">
        <f t="shared" si="1"/>
        <v>-157805.28677065606</v>
      </c>
    </row>
    <row r="29" spans="1:36" x14ac:dyDescent="0.25">
      <c r="A29" s="29">
        <f t="shared" si="2"/>
        <v>0.56280000000000008</v>
      </c>
      <c r="B29" s="31">
        <f t="shared" si="0"/>
        <v>4.6900000000000004E-2</v>
      </c>
      <c r="C29" s="32">
        <f t="shared" si="5"/>
        <v>1.084921563740013E-2</v>
      </c>
      <c r="D29" s="32">
        <f t="shared" si="6"/>
        <v>1.3900319483112817</v>
      </c>
      <c r="E29" s="32">
        <f t="shared" si="3"/>
        <v>3.0237260890458816E-2</v>
      </c>
      <c r="F29" s="32">
        <f t="shared" si="4"/>
        <v>0.34189700203423856</v>
      </c>
      <c r="G29" s="33">
        <f t="shared" si="7"/>
        <v>1.5080756350104528E-2</v>
      </c>
      <c r="I29" s="22">
        <f>'Proportional Element Table'!A9</f>
        <v>7.0000000000000007E-2</v>
      </c>
      <c r="J29" s="23">
        <f>'Proportional Element Table'!D9</f>
        <v>3.0772221828685557E-2</v>
      </c>
      <c r="K29" s="23">
        <f>'Proportional Element Table'!I9</f>
        <v>0.31941238906919162</v>
      </c>
      <c r="L29" s="23">
        <f>'Proportional Element Table'!H9</f>
        <v>0.18052096054005259</v>
      </c>
      <c r="M29" s="23">
        <f>'Proportional Element Table'!F9</f>
        <v>0.51029403288692321</v>
      </c>
      <c r="N29" s="24">
        <f>'Proportional Element Table'!J9</f>
        <v>9.8290288912675824E-3</v>
      </c>
      <c r="AI29" s="47">
        <v>35</v>
      </c>
      <c r="AJ29" s="1">
        <f t="shared" si="1"/>
        <v>-298568.83498844749</v>
      </c>
    </row>
    <row r="30" spans="1:36" x14ac:dyDescent="0.25">
      <c r="A30" s="29">
        <f t="shared" si="2"/>
        <v>0.64319999999999999</v>
      </c>
      <c r="B30" s="31">
        <f t="shared" si="0"/>
        <v>5.3600000000000002E-2</v>
      </c>
      <c r="C30" s="32">
        <f t="shared" si="5"/>
        <v>1.3213430929543147E-2</v>
      </c>
      <c r="D30" s="32">
        <f t="shared" si="6"/>
        <v>1.5144727067493453</v>
      </c>
      <c r="E30" s="32">
        <f t="shared" si="3"/>
        <v>3.4387250350013873E-2</v>
      </c>
      <c r="F30" s="32">
        <f t="shared" si="4"/>
        <v>0.36353288709551435</v>
      </c>
      <c r="G30" s="33">
        <f t="shared" si="7"/>
        <v>2.0011380505310726E-2</v>
      </c>
      <c r="I30" s="22">
        <f>'Proportional Element Table'!A10</f>
        <v>0.08</v>
      </c>
      <c r="J30" s="23">
        <f>'Proportional Element Table'!D10</f>
        <v>3.7477974562532927E-2</v>
      </c>
      <c r="K30" s="23">
        <f>'Proportional Element Table'!I10</f>
        <v>0.3480073576946055</v>
      </c>
      <c r="L30" s="23">
        <f>'Proportional Element Table'!H10</f>
        <v>0.20529701701500813</v>
      </c>
      <c r="M30" s="23">
        <f>'Proportional Element Table'!F10</f>
        <v>0.54258639865002134</v>
      </c>
      <c r="N30" s="24">
        <f>'Proportional Element Table'!J10</f>
        <v>1.3042610899252722E-2</v>
      </c>
      <c r="AI30" s="47">
        <v>40</v>
      </c>
      <c r="AJ30" s="1">
        <f t="shared" si="1"/>
        <v>-517389.34620220581</v>
      </c>
    </row>
    <row r="31" spans="1:36" x14ac:dyDescent="0.25">
      <c r="A31" s="29">
        <f t="shared" si="2"/>
        <v>0.72359999999999991</v>
      </c>
      <c r="B31" s="31">
        <f t="shared" si="0"/>
        <v>6.0299999999999992E-2</v>
      </c>
      <c r="C31" s="32">
        <f t="shared" si="5"/>
        <v>1.5716799369279732E-2</v>
      </c>
      <c r="D31" s="32">
        <f t="shared" si="6"/>
        <v>1.6327813665799773</v>
      </c>
      <c r="E31" s="32">
        <f t="shared" si="3"/>
        <v>3.8494379823811299E-2</v>
      </c>
      <c r="F31" s="32">
        <f t="shared" si="4"/>
        <v>0.38348355896961211</v>
      </c>
      <c r="G31" s="33">
        <f t="shared" si="7"/>
        <v>2.5662097152435885E-2</v>
      </c>
      <c r="I31" s="22">
        <f>'Proportional Element Table'!A11</f>
        <v>8.9999999999999983E-2</v>
      </c>
      <c r="J31" s="23">
        <f>'Proportional Element Table'!D11</f>
        <v>4.4578414955748748E-2</v>
      </c>
      <c r="K31" s="23">
        <f>'Proportional Element Table'!I11</f>
        <v>0.37519324484632582</v>
      </c>
      <c r="L31" s="23">
        <f>'Proportional Element Table'!H11</f>
        <v>0.22981719297797784</v>
      </c>
      <c r="M31" s="23">
        <f>'Proportional Element Table'!F11</f>
        <v>0.57236352085016728</v>
      </c>
      <c r="N31" s="24">
        <f>'Proportional Element Table'!J11</f>
        <v>1.6725520157353353E-2</v>
      </c>
      <c r="AI31" s="47">
        <v>45</v>
      </c>
      <c r="AJ31" s="1">
        <f t="shared" si="1"/>
        <v>-838867.62028743757</v>
      </c>
    </row>
    <row r="32" spans="1:36" x14ac:dyDescent="0.25">
      <c r="A32" s="29">
        <f t="shared" si="2"/>
        <v>0.80400000000000005</v>
      </c>
      <c r="B32" s="31">
        <f t="shared" si="0"/>
        <v>6.7000000000000004E-2</v>
      </c>
      <c r="C32" s="32">
        <f t="shared" si="5"/>
        <v>1.8348911934326334E-2</v>
      </c>
      <c r="D32" s="32">
        <f t="shared" si="6"/>
        <v>1.7457710744668828</v>
      </c>
      <c r="E32" s="32">
        <f t="shared" si="3"/>
        <v>4.2558490340803175E-2</v>
      </c>
      <c r="F32" s="32">
        <f t="shared" si="4"/>
        <v>0.40200000000000002</v>
      </c>
      <c r="G32" s="33">
        <f t="shared" si="7"/>
        <v>3.2032999702887088E-2</v>
      </c>
      <c r="I32" s="22">
        <f>'Proportional Element Table'!A12</f>
        <v>9.9999999999999992E-2</v>
      </c>
      <c r="J32" s="23">
        <f>'Proportional Element Table'!D12</f>
        <v>5.2044019330913897E-2</v>
      </c>
      <c r="K32" s="23">
        <f>'Proportional Element Table'!I12</f>
        <v>0.40115690171063884</v>
      </c>
      <c r="L32" s="23">
        <f>'Proportional Element Table'!H12</f>
        <v>0.25408053934807862</v>
      </c>
      <c r="M32" s="23">
        <f>'Proportional Element Table'!F12</f>
        <v>0.6</v>
      </c>
      <c r="N32" s="24">
        <f>'Proportional Element Table'!J12</f>
        <v>2.0877817547358013E-2</v>
      </c>
      <c r="AI32" s="47">
        <v>50</v>
      </c>
      <c r="AJ32" s="1">
        <f t="shared" si="1"/>
        <v>-1290979.2550782941</v>
      </c>
    </row>
    <row r="33" spans="1:36" x14ac:dyDescent="0.25">
      <c r="A33" s="29">
        <f t="shared" si="2"/>
        <v>0.88440000000000007</v>
      </c>
      <c r="B33" s="31">
        <f t="shared" si="0"/>
        <v>7.3700000000000002E-2</v>
      </c>
      <c r="C33" s="32">
        <f t="shared" si="5"/>
        <v>2.1100823797635213E-2</v>
      </c>
      <c r="D33" s="32">
        <f t="shared" si="6"/>
        <v>1.854068892161701</v>
      </c>
      <c r="E33" s="32">
        <f t="shared" si="3"/>
        <v>4.6579419826220006E-2</v>
      </c>
      <c r="F33" s="32">
        <f t="shared" si="4"/>
        <v>0.41927227430394209</v>
      </c>
      <c r="G33" s="33">
        <f t="shared" si="7"/>
        <v>3.9122381002180781E-2</v>
      </c>
      <c r="I33" s="22">
        <f>'Proportional Element Table'!A13</f>
        <v>0.11</v>
      </c>
      <c r="J33" s="23">
        <f>'Proportional Element Table'!D13</f>
        <v>5.9849416987386814E-2</v>
      </c>
      <c r="K33" s="23">
        <f>'Proportional Element Table'!I13</f>
        <v>0.42604241943050586</v>
      </c>
      <c r="L33" s="23">
        <f>'Proportional Element Table'!H13</f>
        <v>0.27808608851474625</v>
      </c>
      <c r="M33" s="23">
        <f>'Proportional Element Table'!F13</f>
        <v>0.62577951388648068</v>
      </c>
      <c r="N33" s="24">
        <f>'Proportional Element Table'!J13</f>
        <v>2.5498390414811497E-2</v>
      </c>
      <c r="AI33" s="47">
        <v>55</v>
      </c>
      <c r="AJ33" s="1">
        <f t="shared" si="1"/>
        <v>-1905074.6463675713</v>
      </c>
    </row>
    <row r="34" spans="1:36" x14ac:dyDescent="0.25">
      <c r="A34" s="29">
        <f t="shared" si="2"/>
        <v>0.96479999999999999</v>
      </c>
      <c r="B34" s="31">
        <f t="shared" si="0"/>
        <v>8.0399999999999999E-2</v>
      </c>
      <c r="C34" s="32">
        <f t="shared" si="5"/>
        <v>2.3964714676352302E-2</v>
      </c>
      <c r="D34" s="32">
        <f t="shared" si="6"/>
        <v>1.9581713775733649</v>
      </c>
      <c r="E34" s="32">
        <f t="shared" si="3"/>
        <v>5.0557002999787201E-2</v>
      </c>
      <c r="F34" s="32">
        <f t="shared" si="4"/>
        <v>0.43544845848848746</v>
      </c>
      <c r="G34" s="33">
        <f t="shared" si="7"/>
        <v>4.6927018350945426E-2</v>
      </c>
      <c r="I34" s="22">
        <f>'Proportional Element Table'!A14</f>
        <v>0.12</v>
      </c>
      <c r="J34" s="23">
        <f>'Proportional Element Table'!D14</f>
        <v>6.7972426830534352E-2</v>
      </c>
      <c r="K34" s="23">
        <f>'Proportional Element Table'!I14</f>
        <v>0.4499639009574426</v>
      </c>
      <c r="L34" s="23">
        <f>'Proportional Element Table'!H14</f>
        <v>0.30183285373007279</v>
      </c>
      <c r="M34" s="23">
        <f>'Proportional Element Table'!F14</f>
        <v>0.64992307237087676</v>
      </c>
      <c r="N34" s="24">
        <f>'Proportional Element Table'!J14</f>
        <v>3.0585138334211573E-2</v>
      </c>
      <c r="AI34" s="47">
        <v>60</v>
      </c>
      <c r="AJ34" s="1">
        <f t="shared" si="1"/>
        <v>-2715878.9879067102</v>
      </c>
    </row>
    <row r="35" spans="1:36" x14ac:dyDescent="0.25">
      <c r="A35" s="29">
        <f t="shared" si="2"/>
        <v>1.0452000000000001</v>
      </c>
      <c r="B35" s="31">
        <f t="shared" si="0"/>
        <v>8.7100000000000011E-2</v>
      </c>
      <c r="C35" s="32">
        <f t="shared" si="5"/>
        <v>2.6933650477208405E-2</v>
      </c>
      <c r="D35" s="32">
        <f t="shared" si="6"/>
        <v>2.0584802984756796</v>
      </c>
      <c r="E35" s="32">
        <f t="shared" si="3"/>
        <v>5.4491071269289572E-2</v>
      </c>
      <c r="F35" s="32">
        <f t="shared" si="4"/>
        <v>0.45064660211744645</v>
      </c>
      <c r="G35" s="33">
        <f t="shared" si="7"/>
        <v>5.5442388873363585E-2</v>
      </c>
      <c r="I35" s="22">
        <f>'Proportional Element Table'!A15</f>
        <v>0.13</v>
      </c>
      <c r="J35" s="23">
        <f>'Proportional Element Table'!D15</f>
        <v>7.6393381313559411E-2</v>
      </c>
      <c r="K35" s="23">
        <f>'Proportional Element Table'!I15</f>
        <v>0.47301366762596087</v>
      </c>
      <c r="L35" s="23">
        <f>'Proportional Element Table'!H15</f>
        <v>0.32531982847337049</v>
      </c>
      <c r="M35" s="23">
        <f>'Proportional Element Table'!F15</f>
        <v>0.6726068688320096</v>
      </c>
      <c r="N35" s="24">
        <f>'Proportional Element Table'!J15</f>
        <v>3.6135113477475278E-2</v>
      </c>
      <c r="AI35" s="47">
        <v>65</v>
      </c>
      <c r="AJ35" s="1">
        <f t="shared" si="1"/>
        <v>-3761492.2714057965</v>
      </c>
    </row>
    <row r="36" spans="1:36" x14ac:dyDescent="0.25">
      <c r="A36" s="29">
        <f t="shared" si="2"/>
        <v>1.1256000000000002</v>
      </c>
      <c r="B36" s="31">
        <f t="shared" si="0"/>
        <v>9.3800000000000008E-2</v>
      </c>
      <c r="C36" s="32">
        <f t="shared" si="5"/>
        <v>3.0001410300567549E-2</v>
      </c>
      <c r="D36" s="32">
        <f t="shared" si="6"/>
        <v>2.1553265656326634</v>
      </c>
      <c r="E36" s="32">
        <f t="shared" si="3"/>
        <v>5.8381452619209663E-2</v>
      </c>
      <c r="F36" s="32">
        <f t="shared" si="4"/>
        <v>0.46496262215365236</v>
      </c>
      <c r="G36" s="33">
        <f t="shared" si="7"/>
        <v>6.4662836627258677E-2</v>
      </c>
      <c r="I36" s="22">
        <f>'Proportional Element Table'!A16</f>
        <v>0.14000000000000001</v>
      </c>
      <c r="J36" s="23">
        <f>'Proportional Element Table'!D16</f>
        <v>8.5094635759651233E-2</v>
      </c>
      <c r="K36" s="23">
        <f>'Proportional Element Table'!I16</f>
        <v>0.49526775869388656</v>
      </c>
      <c r="L36" s="23">
        <f>'Proportional Element Table'!H16</f>
        <v>0.34854598578632628</v>
      </c>
      <c r="M36" s="23">
        <f>'Proportional Element Table'!F16</f>
        <v>0.69397406291589903</v>
      </c>
      <c r="N36" s="24">
        <f>'Proportional Element Table'!J16</f>
        <v>4.2144629529555118E-2</v>
      </c>
      <c r="AI36" s="47">
        <v>70</v>
      </c>
      <c r="AJ36" s="1">
        <f t="shared" si="1"/>
        <v>-5083389.2865335615</v>
      </c>
    </row>
    <row r="37" spans="1:36" x14ac:dyDescent="0.25">
      <c r="A37" s="29">
        <f t="shared" si="2"/>
        <v>1.206</v>
      </c>
      <c r="B37" s="31">
        <f t="shared" si="0"/>
        <v>0.10050000000000001</v>
      </c>
      <c r="C37" s="32">
        <f t="shared" si="5"/>
        <v>3.3162357339889974E-2</v>
      </c>
      <c r="D37" s="32">
        <f t="shared" si="6"/>
        <v>2.248986836483827</v>
      </c>
      <c r="E37" s="32">
        <f t="shared" si="3"/>
        <v>6.2227971494149922E-2</v>
      </c>
      <c r="F37" s="32">
        <f t="shared" si="4"/>
        <v>0.47847570471237089</v>
      </c>
      <c r="G37" s="33">
        <f t="shared" si="7"/>
        <v>7.4581705124185368E-2</v>
      </c>
      <c r="I37" s="22">
        <f>'Proportional Element Table'!A17</f>
        <v>0.15</v>
      </c>
      <c r="J37" s="23">
        <f>'Proportional Element Table'!D17</f>
        <v>9.4060202187093517E-2</v>
      </c>
      <c r="K37" s="23">
        <f>'Proportional Element Table'!I17</f>
        <v>0.51678974666674016</v>
      </c>
      <c r="L37" s="23">
        <f>'Proportional Element Table'!H17</f>
        <v>0.37151027757701438</v>
      </c>
      <c r="M37" s="23">
        <f>'Proportional Element Table'!F17</f>
        <v>0.71414284285428486</v>
      </c>
      <c r="N37" s="24">
        <f>'Proportional Element Table'!J17</f>
        <v>4.8609348059690416E-2</v>
      </c>
      <c r="AI37" s="47">
        <v>75</v>
      </c>
      <c r="AJ37" s="1">
        <f t="shared" si="1"/>
        <v>-6726419.6209173771</v>
      </c>
    </row>
    <row r="38" spans="1:36" x14ac:dyDescent="0.25">
      <c r="A38" s="29">
        <f t="shared" si="2"/>
        <v>1.2864</v>
      </c>
      <c r="B38" s="31">
        <f t="shared" si="0"/>
        <v>0.1072</v>
      </c>
      <c r="C38" s="32">
        <f t="shared" si="5"/>
        <v>3.6411340258381331E-2</v>
      </c>
      <c r="D38" s="32">
        <f t="shared" si="6"/>
        <v>2.3396953735072206</v>
      </c>
      <c r="E38" s="32">
        <f t="shared" si="3"/>
        <v>6.6030448676724154E-2</v>
      </c>
      <c r="F38" s="32">
        <f t="shared" si="4"/>
        <v>0.49125211449926615</v>
      </c>
      <c r="G38" s="33">
        <f t="shared" si="7"/>
        <v>8.5191444345732004E-2</v>
      </c>
      <c r="I38" s="22">
        <f>'Proportional Element Table'!A18</f>
        <v>0.16</v>
      </c>
      <c r="J38" s="23">
        <f>'Proportional Element Table'!D18</f>
        <v>0.10327546957847747</v>
      </c>
      <c r="K38" s="23">
        <f>'Proportional Element Table'!I18</f>
        <v>0.53763346220494235</v>
      </c>
      <c r="L38" s="23">
        <f>'Proportional Element Table'!H18</f>
        <v>0.39421163389089037</v>
      </c>
      <c r="M38" s="23">
        <f>'Proportional Element Table'!F18</f>
        <v>0.7332121111929345</v>
      </c>
      <c r="N38" s="24">
        <f>'Proportional Element Table'!J18</f>
        <v>5.552434827031804E-2</v>
      </c>
      <c r="AI38" s="47">
        <v>80</v>
      </c>
      <c r="AJ38" s="1">
        <f t="shared" si="1"/>
        <v>-8738807.6601432655</v>
      </c>
    </row>
    <row r="39" spans="1:36" x14ac:dyDescent="0.25">
      <c r="A39" s="29">
        <f t="shared" si="2"/>
        <v>1.3668</v>
      </c>
      <c r="B39" s="31">
        <f t="shared" si="0"/>
        <v>0.1139</v>
      </c>
      <c r="C39" s="32">
        <f t="shared" si="5"/>
        <v>3.9743616328251762E-2</v>
      </c>
      <c r="D39" s="32">
        <f t="shared" si="6"/>
        <v>2.4276527254783291</v>
      </c>
      <c r="E39" s="32">
        <f t="shared" si="3"/>
        <v>6.9788701159580871E-2</v>
      </c>
      <c r="F39" s="32">
        <f t="shared" si="4"/>
        <v>0.50334795122261089</v>
      </c>
      <c r="G39" s="33">
        <f t="shared" si="7"/>
        <v>9.6483698499645415E-2</v>
      </c>
      <c r="I39" s="22">
        <f>'Proportional Element Table'!A19</f>
        <v>0.16999999999999998</v>
      </c>
      <c r="J39" s="23">
        <f>'Proportional Element Table'!D19</f>
        <v>0.11272698587639171</v>
      </c>
      <c r="K39" s="23">
        <f>'Proportional Element Table'!I19</f>
        <v>0.55784498897123225</v>
      </c>
      <c r="L39" s="23">
        <f>'Proportional Element Table'!H19</f>
        <v>0.41664896214675134</v>
      </c>
      <c r="M39" s="23">
        <f>'Proportional Element Table'!F19</f>
        <v>0.75126559883971777</v>
      </c>
      <c r="N39" s="24">
        <f>'Proportional Element Table'!J19</f>
        <v>6.2884184192975992E-2</v>
      </c>
      <c r="AI39" s="47">
        <v>85</v>
      </c>
      <c r="AJ39" s="1">
        <f t="shared" si="1"/>
        <v>-11172152.587755892</v>
      </c>
    </row>
    <row r="40" spans="1:36" x14ac:dyDescent="0.25">
      <c r="A40" s="29">
        <f t="shared" si="2"/>
        <v>1.4471999999999998</v>
      </c>
      <c r="B40" s="31">
        <f t="shared" si="0"/>
        <v>0.12059999999999998</v>
      </c>
      <c r="C40" s="32">
        <f t="shared" si="5"/>
        <v>4.3154790487091803E-2</v>
      </c>
      <c r="D40" s="32">
        <f t="shared" si="6"/>
        <v>2.5130322196944999</v>
      </c>
      <c r="E40" s="32">
        <f t="shared" si="3"/>
        <v>7.3502542011202113E-2</v>
      </c>
      <c r="F40" s="32">
        <f t="shared" si="4"/>
        <v>0.51481118868960107</v>
      </c>
      <c r="G40" s="33">
        <f t="shared" si="7"/>
        <v>0.1084493789282274</v>
      </c>
      <c r="I40" s="22">
        <f>'Proportional Element Table'!A20</f>
        <v>0.17999999999999997</v>
      </c>
      <c r="J40" s="23">
        <f>'Proportional Element Table'!D20</f>
        <v>0.12240228512569856</v>
      </c>
      <c r="K40" s="23">
        <f>'Proportional Element Table'!I20</f>
        <v>0.57746415546466257</v>
      </c>
      <c r="L40" s="23">
        <f>'Proportional Element Table'!H20</f>
        <v>0.43882114633553493</v>
      </c>
      <c r="M40" s="23">
        <f>'Proportional Element Table'!F20</f>
        <v>0.76837490849194179</v>
      </c>
      <c r="N40" s="24">
        <f>'Proportional Element Table'!J20</f>
        <v>7.0682932207056348E-2</v>
      </c>
      <c r="AI40" s="47">
        <v>90</v>
      </c>
      <c r="AJ40" s="1">
        <f t="shared" si="1"/>
        <v>-14081428.385258567</v>
      </c>
    </row>
    <row r="41" spans="1:36" x14ac:dyDescent="0.25">
      <c r="A41" s="29">
        <f t="shared" si="2"/>
        <v>1.5276000000000001</v>
      </c>
      <c r="B41" s="31">
        <f t="shared" si="0"/>
        <v>0.1273</v>
      </c>
      <c r="C41" s="32">
        <f t="shared" si="5"/>
        <v>4.6640766280095197E-2</v>
      </c>
      <c r="D41" s="32">
        <f t="shared" si="6"/>
        <v>2.5959849080563773</v>
      </c>
      <c r="E41" s="32">
        <f t="shared" si="3"/>
        <v>7.7171780235082421E-2</v>
      </c>
      <c r="F41" s="32">
        <f t="shared" si="4"/>
        <v>0.52568321259100526</v>
      </c>
      <c r="G41" s="33">
        <f t="shared" si="7"/>
        <v>0.12107872536331192</v>
      </c>
      <c r="I41" s="22">
        <f>'Proportional Element Table'!A21</f>
        <v>0.18999999999999997</v>
      </c>
      <c r="J41" s="23">
        <f>'Proportional Element Table'!D21</f>
        <v>0.13228974832828586</v>
      </c>
      <c r="K41" s="23">
        <f>'Proportional Element Table'!I21</f>
        <v>0.59652567156979164</v>
      </c>
      <c r="L41" s="23">
        <f>'Proportional Element Table'!H21</f>
        <v>0.46072704617959648</v>
      </c>
      <c r="M41" s="23">
        <f>'Proportional Element Table'!F21</f>
        <v>0.7846018098373212</v>
      </c>
      <c r="N41" s="24">
        <f>'Proportional Element Table'!J21</f>
        <v>7.8914230963329446E-2</v>
      </c>
      <c r="AI41" s="47">
        <v>95</v>
      </c>
      <c r="AJ41" s="1">
        <f t="shared" si="1"/>
        <v>-17524983.832113244</v>
      </c>
    </row>
    <row r="42" spans="1:36" x14ac:dyDescent="0.25">
      <c r="A42" s="29">
        <f t="shared" si="2"/>
        <v>1.6080000000000001</v>
      </c>
      <c r="B42" s="31">
        <f t="shared" si="0"/>
        <v>0.13400000000000001</v>
      </c>
      <c r="C42" s="32">
        <f t="shared" si="5"/>
        <v>5.0197705840230956E-2</v>
      </c>
      <c r="D42" s="32">
        <f t="shared" si="6"/>
        <v>2.6766433971457131</v>
      </c>
      <c r="E42" s="32">
        <f t="shared" si="3"/>
        <v>8.0796220621877315E-2</v>
      </c>
      <c r="F42" s="32">
        <f t="shared" si="4"/>
        <v>0.53600000000000014</v>
      </c>
      <c r="G42" s="33">
        <f t="shared" si="7"/>
        <v>0.13436135788911699</v>
      </c>
      <c r="I42" s="22">
        <f>'Proportional Element Table'!A22</f>
        <v>0.19999999999999998</v>
      </c>
      <c r="J42" s="23">
        <f>'Proportional Element Table'!D22</f>
        <v>0.14237848993264707</v>
      </c>
      <c r="K42" s="23">
        <f>'Proportional Element Table'!I22</f>
        <v>0.61506000866185295</v>
      </c>
      <c r="L42" s="23">
        <f>'Proportional Element Table'!H22</f>
        <v>0.48236549625001368</v>
      </c>
      <c r="M42" s="23">
        <f>'Proportional Element Table'!F22</f>
        <v>0.80000000000000016</v>
      </c>
      <c r="N42" s="24">
        <f>'Proportional Element Table'!J22</f>
        <v>8.7571315251235446E-2</v>
      </c>
      <c r="AI42" s="47">
        <v>100</v>
      </c>
      <c r="AJ42" s="1">
        <f t="shared" si="1"/>
        <v>-21564542.505740516</v>
      </c>
    </row>
    <row r="43" spans="1:36" x14ac:dyDescent="0.25">
      <c r="A43" s="29">
        <f t="shared" si="2"/>
        <v>2.0100000000000002</v>
      </c>
      <c r="B43" s="31">
        <f t="shared" si="0"/>
        <v>0.16750000000000001</v>
      </c>
      <c r="C43" s="32">
        <f t="shared" si="5"/>
        <v>6.892689471318382E-2</v>
      </c>
      <c r="D43" s="32">
        <f t="shared" si="6"/>
        <v>3.0492053919338953</v>
      </c>
      <c r="E43" s="32">
        <f t="shared" si="3"/>
        <v>9.8239307512637319E-2</v>
      </c>
      <c r="F43" s="32">
        <f t="shared" si="4"/>
        <v>0.5802370205355738</v>
      </c>
      <c r="G43" s="33">
        <f t="shared" si="7"/>
        <v>0.21017225900870001</v>
      </c>
      <c r="I43" s="22">
        <f>'Proportional Element Table'!A23</f>
        <v>0.25</v>
      </c>
      <c r="J43" s="23">
        <f>'Proportional Element Table'!D23</f>
        <v>0.19550110947788513</v>
      </c>
      <c r="K43" s="23">
        <f>'Proportional Element Table'!I23</f>
        <v>0.70067021134550245</v>
      </c>
      <c r="L43" s="23">
        <f>'Proportional Element Table'!H23</f>
        <v>0.58650332843365549</v>
      </c>
      <c r="M43" s="23">
        <f>'Proportional Element Table'!F23</f>
        <v>0.86602540378443849</v>
      </c>
      <c r="N43" s="24">
        <f>'Proportional Element Table'!J23</f>
        <v>0.13698180369614998</v>
      </c>
      <c r="AI43" s="47">
        <v>105</v>
      </c>
      <c r="AJ43" s="1">
        <f t="shared" si="1"/>
        <v>-26265202.781519637</v>
      </c>
    </row>
    <row r="44" spans="1:36" x14ac:dyDescent="0.25">
      <c r="A44" s="29">
        <f t="shared" si="2"/>
        <v>2.4119999999999999</v>
      </c>
      <c r="B44" s="31">
        <f t="shared" si="0"/>
        <v>0.20100000000000001</v>
      </c>
      <c r="C44" s="32">
        <f t="shared" si="5"/>
        <v>8.8957775135319966E-2</v>
      </c>
      <c r="D44" s="32">
        <f t="shared" si="6"/>
        <v>3.3776174370024883</v>
      </c>
      <c r="E44" s="32">
        <f t="shared" si="3"/>
        <v>0.11453044836618891</v>
      </c>
      <c r="F44" s="32">
        <f t="shared" si="4"/>
        <v>0.61406514312408267</v>
      </c>
      <c r="G44" s="33">
        <f t="shared" si="7"/>
        <v>0.30046533245400309</v>
      </c>
      <c r="I44" s="22">
        <f>'Proportional Element Table'!A24</f>
        <v>0.3</v>
      </c>
      <c r="J44" s="23">
        <f>'Proportional Element Table'!D24</f>
        <v>0.2523157877343456</v>
      </c>
      <c r="K44" s="23">
        <f>'Proportional Element Table'!I24</f>
        <v>0.77613529403075843</v>
      </c>
      <c r="L44" s="23">
        <f>'Proportional Element Table'!H24</f>
        <v>0.68376387084291868</v>
      </c>
      <c r="M44" s="23">
        <f>'Proportional Element Table'!F24</f>
        <v>0.9165151389911681</v>
      </c>
      <c r="N44" s="24">
        <f>'Proportional Element Table'!J24</f>
        <v>0.19583118810179875</v>
      </c>
      <c r="AI44" s="47">
        <v>110</v>
      </c>
      <c r="AJ44" s="1">
        <f t="shared" si="1"/>
        <v>-31695437.832788482</v>
      </c>
    </row>
    <row r="45" spans="1:36" x14ac:dyDescent="0.25">
      <c r="A45" s="29">
        <f t="shared" si="2"/>
        <v>2.8140000000000005</v>
      </c>
      <c r="B45" s="31">
        <f t="shared" si="0"/>
        <v>0.23450000000000004</v>
      </c>
      <c r="C45" s="32">
        <f t="shared" si="5"/>
        <v>0.10997173661397432</v>
      </c>
      <c r="D45" s="32">
        <f t="shared" si="6"/>
        <v>3.6684941036653997</v>
      </c>
      <c r="E45" s="32">
        <f t="shared" si="3"/>
        <v>0.12963939987555051</v>
      </c>
      <c r="F45" s="32">
        <f t="shared" si="4"/>
        <v>0.63913926494935358</v>
      </c>
      <c r="G45" s="33">
        <f t="shared" si="7"/>
        <v>0.40343066733820915</v>
      </c>
      <c r="I45" s="22">
        <f>'Proportional Element Table'!A25</f>
        <v>0.35000000000000003</v>
      </c>
      <c r="J45" s="23">
        <f>'Proportional Element Table'!D25</f>
        <v>0.31191883239053653</v>
      </c>
      <c r="K45" s="23">
        <f>'Proportional Element Table'!I25</f>
        <v>0.8429752045350869</v>
      </c>
      <c r="L45" s="23">
        <f>'Proportional Element Table'!H25</f>
        <v>0.77396656642119688</v>
      </c>
      <c r="M45" s="23">
        <f>'Proportional Element Table'!F25</f>
        <v>0.95393920141694566</v>
      </c>
      <c r="N45" s="24">
        <f>'Proportional Element Table'!J25</f>
        <v>0.26293984153275801</v>
      </c>
      <c r="AI45" s="47">
        <v>115</v>
      </c>
      <c r="AJ45" s="1">
        <f t="shared" si="1"/>
        <v>-37927095.630843595</v>
      </c>
    </row>
    <row r="46" spans="1:36" x14ac:dyDescent="0.25">
      <c r="A46" s="29">
        <f t="shared" si="2"/>
        <v>3.2160000000000002</v>
      </c>
      <c r="B46" s="31">
        <f t="shared" si="0"/>
        <v>0.26800000000000002</v>
      </c>
      <c r="C46" s="32">
        <f t="shared" si="5"/>
        <v>0.13169370620315504</v>
      </c>
      <c r="D46" s="32">
        <f t="shared" si="6"/>
        <v>3.9261024361241224</v>
      </c>
      <c r="E46" s="32">
        <f t="shared" si="3"/>
        <v>0.14353166202337023</v>
      </c>
      <c r="F46" s="32">
        <f t="shared" si="4"/>
        <v>0.65646325106589176</v>
      </c>
      <c r="G46" s="33">
        <f t="shared" si="7"/>
        <v>0.51704298074642152</v>
      </c>
      <c r="I46" s="22">
        <f>'Proportional Element Table'!A26</f>
        <v>0.39999999999999997</v>
      </c>
      <c r="J46" s="23">
        <f>'Proportional Element Table'!D26</f>
        <v>0.37353003905233095</v>
      </c>
      <c r="K46" s="23">
        <f>'Proportional Element Table'!I26</f>
        <v>0.90217045757566283</v>
      </c>
      <c r="L46" s="23">
        <f>'Proportional Element Table'!H26</f>
        <v>0.85690544491564302</v>
      </c>
      <c r="M46" s="23">
        <f>'Proportional Element Table'!F26</f>
        <v>0.9797958971132712</v>
      </c>
      <c r="N46" s="24">
        <f>'Proportional Element Table'!J26</f>
        <v>0.33698776625009663</v>
      </c>
      <c r="AI46" s="47">
        <v>120</v>
      </c>
      <c r="AJ46" s="1">
        <f t="shared" si="1"/>
        <v>-45035398.944940157</v>
      </c>
    </row>
    <row r="47" spans="1:36" x14ac:dyDescent="0.25">
      <c r="A47" s="29">
        <f t="shared" si="2"/>
        <v>3.6180000000000003</v>
      </c>
      <c r="B47" s="31">
        <f t="shared" si="0"/>
        <v>0.30150000000000005</v>
      </c>
      <c r="C47" s="32">
        <f t="shared" si="5"/>
        <v>0.15387508242177225</v>
      </c>
      <c r="D47" s="32">
        <f t="shared" si="6"/>
        <v>4.1532692123664372</v>
      </c>
      <c r="E47" s="32">
        <f t="shared" si="3"/>
        <v>0.15616740650364241</v>
      </c>
      <c r="F47" s="32">
        <f t="shared" si="4"/>
        <v>0.66664158286143538</v>
      </c>
      <c r="G47" s="33">
        <f t="shared" si="7"/>
        <v>0.63908464237269469</v>
      </c>
      <c r="I47" s="22">
        <f>'Proportional Element Table'!A27</f>
        <v>0.45000000000000007</v>
      </c>
      <c r="J47" s="23">
        <f>'Proportional Element Table'!D27</f>
        <v>0.43644428578476918</v>
      </c>
      <c r="K47" s="23">
        <f>'Proportional Element Table'!I27</f>
        <v>0.95437061225905395</v>
      </c>
      <c r="L47" s="23">
        <f>'Proportional Element Table'!H27</f>
        <v>0.93234272539487995</v>
      </c>
      <c r="M47" s="23">
        <f>'Proportional Element Table'!F27</f>
        <v>0.99498743710661997</v>
      </c>
      <c r="N47" s="24">
        <f>'Proportional Element Table'!J27</f>
        <v>0.4165296002413757</v>
      </c>
      <c r="AI47" s="47">
        <v>125</v>
      </c>
      <c r="AJ47" s="1">
        <f t="shared" si="1"/>
        <v>-53098945.342291981</v>
      </c>
    </row>
    <row r="48" spans="1:36" x14ac:dyDescent="0.25">
      <c r="A48" s="29">
        <f t="shared" si="2"/>
        <v>4.0200000000000005</v>
      </c>
      <c r="B48" s="31">
        <f t="shared" si="0"/>
        <v>0.33500000000000002</v>
      </c>
      <c r="C48" s="32">
        <f t="shared" si="5"/>
        <v>0.17628261777455731</v>
      </c>
      <c r="D48" s="32">
        <f t="shared" si="6"/>
        <v>4.3518410552640487</v>
      </c>
      <c r="E48" s="32">
        <f t="shared" si="3"/>
        <v>0.16750000000000004</v>
      </c>
      <c r="F48" s="32">
        <f t="shared" si="4"/>
        <v>0.67</v>
      </c>
      <c r="G48" s="33">
        <f t="shared" si="7"/>
        <v>0.76715393336073845</v>
      </c>
      <c r="I48" s="22">
        <f>'Proportional Element Table'!A28</f>
        <v>0.5</v>
      </c>
      <c r="J48" s="23">
        <f>'Proportional Element Table'!D28</f>
        <v>0.5</v>
      </c>
      <c r="K48" s="23">
        <f>'Proportional Element Table'!I28</f>
        <v>1</v>
      </c>
      <c r="L48" s="23">
        <f>'Proportional Element Table'!H28</f>
        <v>1</v>
      </c>
      <c r="M48" s="23">
        <f>'Proportional Element Table'!F28</f>
        <v>1</v>
      </c>
      <c r="N48" s="24">
        <f>'Proportional Element Table'!J28</f>
        <v>0.5</v>
      </c>
      <c r="AI48" s="47">
        <v>130</v>
      </c>
      <c r="AJ48" s="1">
        <f t="shared" si="1"/>
        <v>-62199707.188071541</v>
      </c>
    </row>
    <row r="49" spans="1:36" x14ac:dyDescent="0.25">
      <c r="A49" s="29">
        <f t="shared" si="2"/>
        <v>4.4219999999999997</v>
      </c>
      <c r="B49" s="31">
        <f t="shared" si="0"/>
        <v>0.36849999999999999</v>
      </c>
      <c r="C49" s="32">
        <f t="shared" si="5"/>
        <v>0.19869015312734239</v>
      </c>
      <c r="D49" s="32">
        <f t="shared" si="6"/>
        <v>4.522926115491738</v>
      </c>
      <c r="E49" s="32">
        <f t="shared" si="3"/>
        <v>0.17747390852549497</v>
      </c>
      <c r="F49" s="32">
        <f t="shared" si="4"/>
        <v>0.66664158286143538</v>
      </c>
      <c r="G49" s="33">
        <f t="shared" si="7"/>
        <v>0.89866088247070941</v>
      </c>
      <c r="I49" s="22">
        <f>'Proportional Element Table'!A29</f>
        <v>0.54999999999999993</v>
      </c>
      <c r="J49" s="23">
        <f>'Proportional Element Table'!D29</f>
        <v>0.56355571421523087</v>
      </c>
      <c r="K49" s="23">
        <f>'Proportional Element Table'!I29</f>
        <v>1.0393132603087014</v>
      </c>
      <c r="L49" s="23">
        <f>'Proportional Element Table'!H29</f>
        <v>1.0595457225402682</v>
      </c>
      <c r="M49" s="23">
        <f>'Proportional Element Table'!F29</f>
        <v>0.99498743710661997</v>
      </c>
      <c r="N49" s="24">
        <f>'Proportional Element Table'!J29</f>
        <v>0.58571092670663039</v>
      </c>
      <c r="AI49" s="47">
        <v>135</v>
      </c>
      <c r="AJ49" s="1">
        <f t="shared" si="1"/>
        <v>-72423031.645409927</v>
      </c>
    </row>
    <row r="50" spans="1:36" x14ac:dyDescent="0.25">
      <c r="A50" s="29">
        <f t="shared" si="2"/>
        <v>4.8239999999999998</v>
      </c>
      <c r="B50" s="31">
        <f t="shared" si="0"/>
        <v>0.40200000000000002</v>
      </c>
      <c r="C50" s="32">
        <f t="shared" si="5"/>
        <v>0.22087152934595958</v>
      </c>
      <c r="D50" s="32">
        <f t="shared" si="6"/>
        <v>4.6670103191094778</v>
      </c>
      <c r="E50" s="32">
        <f t="shared" si="3"/>
        <v>0.18602161717752289</v>
      </c>
      <c r="F50" s="32">
        <f t="shared" si="4"/>
        <v>0.65646325106589176</v>
      </c>
      <c r="G50" s="33">
        <f t="shared" si="7"/>
        <v>1.0308097066550852</v>
      </c>
      <c r="I50" s="22">
        <f>'Proportional Element Table'!A30</f>
        <v>0.6</v>
      </c>
      <c r="J50" s="23">
        <f>'Proportional Element Table'!D30</f>
        <v>0.62646996094766905</v>
      </c>
      <c r="K50" s="23">
        <f>'Proportional Element Table'!I30</f>
        <v>1.0724220530674473</v>
      </c>
      <c r="L50" s="23">
        <f>'Proportional Element Table'!H30</f>
        <v>1.1105768189702856</v>
      </c>
      <c r="M50" s="23">
        <f>'Proportional Element Table'!F30</f>
        <v>0.9797958971132712</v>
      </c>
      <c r="N50" s="24">
        <f>'Proportional Element Table'!J30</f>
        <v>0.67184020170458281</v>
      </c>
      <c r="AI50" s="47">
        <v>140</v>
      </c>
      <c r="AJ50" s="1">
        <f t="shared" si="1"/>
        <v>-83857640.675396949</v>
      </c>
    </row>
    <row r="51" spans="1:36" x14ac:dyDescent="0.25">
      <c r="A51" s="29">
        <f t="shared" si="2"/>
        <v>5.2260000000000009</v>
      </c>
      <c r="B51" s="31">
        <f t="shared" si="0"/>
        <v>0.43550000000000005</v>
      </c>
      <c r="C51" s="32">
        <f t="shared" si="5"/>
        <v>0.24259349893514034</v>
      </c>
      <c r="D51" s="32">
        <f t="shared" si="6"/>
        <v>4.7839839061600049</v>
      </c>
      <c r="E51" s="32">
        <f t="shared" si="3"/>
        <v>0.19305890509710774</v>
      </c>
      <c r="F51" s="32">
        <f t="shared" si="4"/>
        <v>0.63913926494935358</v>
      </c>
      <c r="G51" s="33">
        <f t="shared" si="7"/>
        <v>1.1605633946447558</v>
      </c>
      <c r="I51" s="22">
        <f>'Proportional Element Table'!A31</f>
        <v>0.65</v>
      </c>
      <c r="J51" s="23">
        <f>'Proportional Element Table'!D31</f>
        <v>0.68808116760946358</v>
      </c>
      <c r="K51" s="23">
        <f>'Proportional Element Table'!I31</f>
        <v>1.0993011567766773</v>
      </c>
      <c r="L51" s="23">
        <f>'Proportional Element Table'!H31</f>
        <v>1.1525904781916878</v>
      </c>
      <c r="M51" s="23">
        <f>'Proportional Element Table'!F31</f>
        <v>0.95393920141694566</v>
      </c>
      <c r="N51" s="24">
        <f>'Proportional Element Table'!J31</f>
        <v>0.75640842350933013</v>
      </c>
      <c r="AI51" s="47">
        <v>145</v>
      </c>
      <c r="AJ51" s="1">
        <f t="shared" si="1"/>
        <v>-96595631.037080958</v>
      </c>
    </row>
    <row r="52" spans="1:36" x14ac:dyDescent="0.25">
      <c r="A52" s="29">
        <f t="shared" si="2"/>
        <v>5.628000000000001</v>
      </c>
      <c r="B52" s="31">
        <f t="shared" si="0"/>
        <v>0.46900000000000008</v>
      </c>
      <c r="C52" s="32">
        <f t="shared" si="5"/>
        <v>0.26360746041379479</v>
      </c>
      <c r="D52" s="32">
        <f t="shared" si="6"/>
        <v>4.8730803137035323</v>
      </c>
      <c r="E52" s="32">
        <f t="shared" si="3"/>
        <v>0.1984772013590263</v>
      </c>
      <c r="F52" s="32">
        <f t="shared" si="4"/>
        <v>0.61406514312408256</v>
      </c>
      <c r="G52" s="33">
        <f t="shared" si="7"/>
        <v>1.2845803258878465</v>
      </c>
      <c r="I52" s="22">
        <f>'Proportional Element Table'!A32</f>
        <v>0.70000000000000007</v>
      </c>
      <c r="J52" s="23">
        <f>'Proportional Element Table'!D32</f>
        <v>0.74768421226565474</v>
      </c>
      <c r="K52" s="23">
        <f>'Proportional Element Table'!I32</f>
        <v>1.1197744246217323</v>
      </c>
      <c r="L52" s="23">
        <f>'Proportional Element Table'!H32</f>
        <v>1.1849385155762762</v>
      </c>
      <c r="M52" s="23">
        <f>'Proportional Element Table'!F32</f>
        <v>0.91651513899116788</v>
      </c>
      <c r="N52" s="24">
        <f>'Proportional Element Table'!J32</f>
        <v>0.83723765858852661</v>
      </c>
      <c r="AI52" s="47">
        <v>150</v>
      </c>
      <c r="AJ52" s="1">
        <f t="shared" si="1"/>
        <v>-110732474.28746901</v>
      </c>
    </row>
    <row r="53" spans="1:36" x14ac:dyDescent="0.25">
      <c r="A53" s="29">
        <f t="shared" si="2"/>
        <v>6.0300000000000011</v>
      </c>
      <c r="B53" s="31">
        <f t="shared" si="0"/>
        <v>0.50250000000000006</v>
      </c>
      <c r="C53" s="32">
        <f t="shared" si="5"/>
        <v>0.28363834083593076</v>
      </c>
      <c r="D53" s="32">
        <f t="shared" si="6"/>
        <v>4.9326938776421807</v>
      </c>
      <c r="E53" s="32">
        <f t="shared" si="3"/>
        <v>0.20213034624368134</v>
      </c>
      <c r="F53" s="32">
        <f t="shared" si="4"/>
        <v>0.58023702053557391</v>
      </c>
      <c r="G53" s="33">
        <f t="shared" si="7"/>
        <v>1.3991011073059818</v>
      </c>
      <c r="I53" s="22">
        <f>'Proportional Element Table'!A33</f>
        <v>0.75</v>
      </c>
      <c r="J53" s="23">
        <f>'Proportional Element Table'!D33</f>
        <v>0.80449889052211476</v>
      </c>
      <c r="K53" s="23">
        <f>'Proportional Element Table'!I33</f>
        <v>1.1334728945753945</v>
      </c>
      <c r="L53" s="23">
        <f>'Proportional Element Table'!H33</f>
        <v>1.2067483357831719</v>
      </c>
      <c r="M53" s="23">
        <f>'Proportional Element Table'!F33</f>
        <v>0.8660254037844386</v>
      </c>
      <c r="N53" s="24">
        <f>'Proportional Element Table'!J33</f>
        <v>0.91187768612279485</v>
      </c>
      <c r="AI53" s="47">
        <v>155</v>
      </c>
      <c r="AJ53" s="1">
        <f t="shared" si="1"/>
        <v>-126367016.7815268</v>
      </c>
    </row>
    <row r="54" spans="1:36" x14ac:dyDescent="0.25">
      <c r="A54" s="29">
        <f t="shared" si="2"/>
        <v>6.4320000000000004</v>
      </c>
      <c r="B54" s="31">
        <f t="shared" si="0"/>
        <v>0.53600000000000003</v>
      </c>
      <c r="C54" s="32">
        <f t="shared" si="5"/>
        <v>0.3023675297088837</v>
      </c>
      <c r="D54" s="32">
        <f t="shared" si="6"/>
        <v>4.9599741389795824</v>
      </c>
      <c r="E54" s="32">
        <f t="shared" si="3"/>
        <v>0.20380948521540582</v>
      </c>
      <c r="F54" s="32">
        <f t="shared" si="4"/>
        <v>0.53600000000000003</v>
      </c>
      <c r="G54" s="33">
        <f t="shared" si="7"/>
        <v>1.4997351278232036</v>
      </c>
      <c r="I54" s="22">
        <f>'Proportional Element Table'!A34</f>
        <v>0.79999999999999993</v>
      </c>
      <c r="J54" s="23">
        <f>'Proportional Element Table'!D34</f>
        <v>0.85762151006735299</v>
      </c>
      <c r="K54" s="23">
        <f>'Proportional Element Table'!I34</f>
        <v>1.1397415659241339</v>
      </c>
      <c r="L54" s="23">
        <f>'Proportional Element Table'!H34</f>
        <v>1.216773046062124</v>
      </c>
      <c r="M54" s="23">
        <f>'Proportional Element Table'!F34</f>
        <v>0.8</v>
      </c>
      <c r="N54" s="24">
        <f>'Proportional Element Table'!J34</f>
        <v>0.97746688285438521</v>
      </c>
      <c r="AI54" s="47">
        <v>160</v>
      </c>
      <c r="AJ54" s="1">
        <f t="shared" si="1"/>
        <v>-143601479.67217869</v>
      </c>
    </row>
    <row r="55" spans="1:36" x14ac:dyDescent="0.25">
      <c r="A55" s="29">
        <f t="shared" si="2"/>
        <v>6.8339999999999987</v>
      </c>
      <c r="B55" s="31">
        <f t="shared" si="0"/>
        <v>0.5694999999999999</v>
      </c>
      <c r="C55" s="32">
        <f t="shared" si="5"/>
        <v>0.31940287820922458</v>
      </c>
      <c r="D55" s="32">
        <f t="shared" si="6"/>
        <v>4.949901700571214</v>
      </c>
      <c r="E55" s="32">
        <f t="shared" si="3"/>
        <v>0.20318897313143586</v>
      </c>
      <c r="F55" s="32">
        <f t="shared" si="4"/>
        <v>0.47847570471237111</v>
      </c>
      <c r="G55" s="33">
        <f t="shared" si="7"/>
        <v>1.5810128500151812</v>
      </c>
      <c r="I55" s="22">
        <f>'Proportional Element Table'!A35</f>
        <v>0.84999999999999987</v>
      </c>
      <c r="J55" s="23">
        <f>'Proportional Element Table'!D35</f>
        <v>0.90593979781290623</v>
      </c>
      <c r="K55" s="23">
        <f>'Proportional Element Table'!I35</f>
        <v>1.1374270424200679</v>
      </c>
      <c r="L55" s="23">
        <f>'Proportional Element Table'!H35</f>
        <v>1.2130684963070795</v>
      </c>
      <c r="M55" s="23">
        <f>'Proportional Element Table'!F35</f>
        <v>0.7141428428542852</v>
      </c>
      <c r="N55" s="24">
        <f>'Proportional Element Table'!J35</f>
        <v>1.0304404248369683</v>
      </c>
      <c r="AI55" s="47">
        <v>165</v>
      </c>
      <c r="AJ55" s="1">
        <f t="shared" si="1"/>
        <v>-162541458.91030765</v>
      </c>
    </row>
    <row r="56" spans="1:36" x14ac:dyDescent="0.25">
      <c r="A56" s="29">
        <f t="shared" si="2"/>
        <v>7.2360000000000007</v>
      </c>
      <c r="B56" s="31">
        <f t="shared" si="0"/>
        <v>0.60300000000000009</v>
      </c>
      <c r="C56" s="32">
        <f t="shared" si="5"/>
        <v>0.33421632361478837</v>
      </c>
      <c r="D56" s="32">
        <f t="shared" si="6"/>
        <v>4.8928228029207013</v>
      </c>
      <c r="E56" s="32">
        <f t="shared" si="3"/>
        <v>0.19968456912336627</v>
      </c>
      <c r="F56" s="32">
        <f t="shared" si="4"/>
        <v>0.4019999999999998</v>
      </c>
      <c r="G56" s="33">
        <f t="shared" si="7"/>
        <v>1.6352612492907608</v>
      </c>
      <c r="I56" s="22">
        <f>'Proportional Element Table'!A36</f>
        <v>0.90000000000000013</v>
      </c>
      <c r="J56" s="23">
        <f>'Proportional Element Table'!D36</f>
        <v>0.94795598066908626</v>
      </c>
      <c r="K56" s="23">
        <f>'Proportional Element Table'!I36</f>
        <v>1.1243110078669516</v>
      </c>
      <c r="L56" s="23">
        <f>'Proportional Element Table'!H36</f>
        <v>1.1921466813335297</v>
      </c>
      <c r="M56" s="23">
        <f>'Proportional Element Table'!F36</f>
        <v>0.59999999999999964</v>
      </c>
      <c r="N56" s="24">
        <f>'Proportional Element Table'!J36</f>
        <v>1.0657973440395649</v>
      </c>
      <c r="AI56" s="47">
        <v>170</v>
      </c>
      <c r="AJ56" s="1">
        <f t="shared" si="1"/>
        <v>-183295925.24475524</v>
      </c>
    </row>
    <row r="57" spans="1:36" x14ac:dyDescent="0.25">
      <c r="A57" s="29">
        <f t="shared" si="2"/>
        <v>7.6380000000000008</v>
      </c>
      <c r="B57" s="31">
        <f t="shared" si="0"/>
        <v>0.63650000000000007</v>
      </c>
      <c r="C57" s="32">
        <f t="shared" si="5"/>
        <v>0.3459747206497758</v>
      </c>
      <c r="D57" s="32">
        <f t="shared" si="6"/>
        <v>4.7651924423539711</v>
      </c>
      <c r="E57" s="32">
        <f t="shared" si="3"/>
        <v>0.19192252129762905</v>
      </c>
      <c r="F57" s="32">
        <f t="shared" si="4"/>
        <v>0.29204622921722484</v>
      </c>
      <c r="G57" s="33">
        <f t="shared" si="7"/>
        <v>1.6486361240858383</v>
      </c>
      <c r="I57" s="22">
        <f>'Proportional Element Table'!A37</f>
        <v>0.95000000000000007</v>
      </c>
      <c r="J57" s="23">
        <f>'Proportional Element Table'!D37</f>
        <v>0.98130696326575084</v>
      </c>
      <c r="K57" s="23">
        <f>'Proportional Element Table'!I37</f>
        <v>1.094983107572352</v>
      </c>
      <c r="L57" s="23">
        <f>'Proportional Element Table'!H37</f>
        <v>1.1458060972992776</v>
      </c>
      <c r="M57" s="23">
        <f>'Proportional Element Table'!F37</f>
        <v>0.43588989435406689</v>
      </c>
      <c r="N57" s="24">
        <f>'Proportional Element Table'!J37</f>
        <v>1.0745145481191196</v>
      </c>
      <c r="AI57" s="47">
        <v>175</v>
      </c>
      <c r="AJ57" s="1">
        <f t="shared" si="1"/>
        <v>-205977224.22232184</v>
      </c>
    </row>
    <row r="58" spans="1:36" ht="15.75" thickBot="1" x14ac:dyDescent="0.3">
      <c r="A58" s="30">
        <f t="shared" si="2"/>
        <v>8.0400000000000009</v>
      </c>
      <c r="B58" s="34">
        <f t="shared" si="0"/>
        <v>0.67</v>
      </c>
      <c r="C58" s="35">
        <f t="shared" si="5"/>
        <v>0.35256523554911462</v>
      </c>
      <c r="D58" s="35">
        <f t="shared" si="6"/>
        <v>4.3518410552640487</v>
      </c>
      <c r="E58" s="35">
        <f t="shared" si="3"/>
        <v>0.16750000000000004</v>
      </c>
      <c r="F58" s="35">
        <f t="shared" si="4"/>
        <v>0</v>
      </c>
      <c r="G58" s="36">
        <f t="shared" si="7"/>
        <v>1.5343078667214769</v>
      </c>
      <c r="I58" s="25">
        <f>'Proportional Element Table'!A38</f>
        <v>1</v>
      </c>
      <c r="J58" s="26">
        <f>'Proportional Element Table'!D38</f>
        <v>1</v>
      </c>
      <c r="K58" s="26">
        <f>'Proportional Element Table'!I38</f>
        <v>1</v>
      </c>
      <c r="L58" s="26">
        <f>'Proportional Element Table'!H38</f>
        <v>1</v>
      </c>
      <c r="M58" s="26">
        <f>'Proportional Element Table'!F38</f>
        <v>0</v>
      </c>
      <c r="N58" s="27">
        <f>'Proportional Element Table'!J38</f>
        <v>1</v>
      </c>
      <c r="AI58" s="47">
        <v>180</v>
      </c>
      <c r="AJ58" s="1">
        <f t="shared" si="1"/>
        <v>-230701076.18776625</v>
      </c>
    </row>
    <row r="59" spans="1:36" x14ac:dyDescent="0.25">
      <c r="AI59" s="47">
        <v>185</v>
      </c>
      <c r="AJ59" s="1">
        <f t="shared" si="1"/>
        <v>-257586576.28380617</v>
      </c>
    </row>
    <row r="60" spans="1:36" x14ac:dyDescent="0.25">
      <c r="AI60" s="47">
        <v>190</v>
      </c>
      <c r="AJ60" s="1">
        <f t="shared" si="1"/>
        <v>-286756194.45111769</v>
      </c>
    </row>
    <row r="61" spans="1:36" x14ac:dyDescent="0.25">
      <c r="AI61" s="47">
        <v>195</v>
      </c>
      <c r="AJ61" s="1">
        <f t="shared" si="1"/>
        <v>-318335775.42833573</v>
      </c>
    </row>
    <row r="62" spans="1:36" x14ac:dyDescent="0.25">
      <c r="AI62" s="47">
        <v>200</v>
      </c>
      <c r="AJ62" s="1">
        <f t="shared" si="1"/>
        <v>-352454538.75205374</v>
      </c>
    </row>
    <row r="63" spans="1:36" x14ac:dyDescent="0.25">
      <c r="AI63" s="47">
        <v>210</v>
      </c>
      <c r="AJ63" s="1">
        <f t="shared" si="1"/>
        <v>-428843364.57515675</v>
      </c>
    </row>
    <row r="64" spans="1:36" x14ac:dyDescent="0.25">
      <c r="AI64" s="47">
        <v>220</v>
      </c>
      <c r="AJ64" s="1">
        <f t="shared" si="1"/>
        <v>-517023924.17234778</v>
      </c>
    </row>
    <row r="65" spans="35:36" x14ac:dyDescent="0.25">
      <c r="AI65" s="47">
        <v>230</v>
      </c>
      <c r="AJ65" s="1">
        <f t="shared" si="1"/>
        <v>-618151466.562886</v>
      </c>
    </row>
    <row r="66" spans="35:36" x14ac:dyDescent="0.25">
      <c r="AI66" s="47">
        <v>240</v>
      </c>
      <c r="AJ66" s="1">
        <f t="shared" si="1"/>
        <v>-733435237.53336883</v>
      </c>
    </row>
    <row r="67" spans="35:36" x14ac:dyDescent="0.25">
      <c r="AI67" s="47">
        <v>250</v>
      </c>
      <c r="AJ67" s="1">
        <f t="shared" si="1"/>
        <v>-864138479.63773203</v>
      </c>
    </row>
    <row r="68" spans="35:36" x14ac:dyDescent="0.25">
      <c r="AI68" s="47">
        <v>260</v>
      </c>
      <c r="AJ68" s="1">
        <f t="shared" si="1"/>
        <v>-1011578432.1972497</v>
      </c>
    </row>
    <row r="69" spans="35:36" x14ac:dyDescent="0.25">
      <c r="AI69" s="47">
        <v>270</v>
      </c>
      <c r="AJ69" s="1">
        <f t="shared" si="1"/>
        <v>-1177126331.300534</v>
      </c>
    </row>
    <row r="70" spans="35:36" x14ac:dyDescent="0.25">
      <c r="AI70" s="47">
        <v>280</v>
      </c>
      <c r="AJ70" s="1">
        <f t="shared" si="1"/>
        <v>-1362207409.8035364</v>
      </c>
    </row>
    <row r="71" spans="35:36" x14ac:dyDescent="0.25">
      <c r="AI71" s="47">
        <v>290</v>
      </c>
      <c r="AJ71" s="1">
        <f t="shared" si="1"/>
        <v>-1568300897.3295455</v>
      </c>
    </row>
    <row r="72" spans="35:36" x14ac:dyDescent="0.25">
      <c r="AI72" s="47">
        <v>300</v>
      </c>
      <c r="AJ72" s="1">
        <f t="shared" si="1"/>
        <v>-1796940020.2691889</v>
      </c>
    </row>
    <row r="73" spans="35:36" x14ac:dyDescent="0.25">
      <c r="AI73" s="47">
        <v>310</v>
      </c>
      <c r="AJ73" s="1">
        <f t="shared" si="1"/>
        <v>-2049712001.7804317</v>
      </c>
    </row>
    <row r="74" spans="35:36" x14ac:dyDescent="0.25">
      <c r="AI74" s="47">
        <v>320</v>
      </c>
      <c r="AJ74" s="1">
        <f t="shared" si="1"/>
        <v>-2328258061.788579</v>
      </c>
    </row>
    <row r="75" spans="35:36" x14ac:dyDescent="0.25">
      <c r="AI75" s="47">
        <v>330</v>
      </c>
      <c r="AJ75" s="1">
        <f t="shared" si="1"/>
        <v>-2634273416.9862719</v>
      </c>
    </row>
    <row r="76" spans="35:36" x14ac:dyDescent="0.25">
      <c r="AI76" s="47">
        <v>340</v>
      </c>
      <c r="AJ76" s="1">
        <f t="shared" si="1"/>
        <v>-2969507280.8334918</v>
      </c>
    </row>
    <row r="77" spans="35:36" x14ac:dyDescent="0.25">
      <c r="AI77" s="47">
        <v>350</v>
      </c>
      <c r="AJ77" s="1">
        <f t="shared" si="1"/>
        <v>-3335762863.5575571</v>
      </c>
    </row>
    <row r="78" spans="35:36" x14ac:dyDescent="0.25">
      <c r="AI78" s="47">
        <v>360</v>
      </c>
      <c r="AJ78" s="1">
        <f t="shared" si="1"/>
        <v>-3734897372.1531262</v>
      </c>
    </row>
    <row r="79" spans="35:36" x14ac:dyDescent="0.25">
      <c r="AI79" s="47">
        <v>370</v>
      </c>
      <c r="AJ79" s="1">
        <f t="shared" si="1"/>
        <v>-4168822010.3821931</v>
      </c>
    </row>
    <row r="80" spans="35:36" x14ac:dyDescent="0.25">
      <c r="AI80" s="47">
        <v>380</v>
      </c>
      <c r="AJ80" s="1">
        <f t="shared" si="1"/>
        <v>-4639501978.7740927</v>
      </c>
    </row>
    <row r="81" spans="35:36" x14ac:dyDescent="0.25">
      <c r="AI81" s="47">
        <v>390</v>
      </c>
      <c r="AJ81" s="1">
        <f t="shared" si="1"/>
        <v>-5148956474.6254978</v>
      </c>
    </row>
    <row r="82" spans="35:36" x14ac:dyDescent="0.25">
      <c r="AI82" s="47">
        <v>400</v>
      </c>
      <c r="AJ82" s="1">
        <f t="shared" si="1"/>
        <v>-5699258692.0004168</v>
      </c>
    </row>
    <row r="83" spans="35:36" x14ac:dyDescent="0.25">
      <c r="AI83" s="47">
        <v>410</v>
      </c>
      <c r="AJ83" s="1">
        <f t="shared" si="1"/>
        <v>-6292535821.7302017</v>
      </c>
    </row>
    <row r="84" spans="35:36" x14ac:dyDescent="0.25">
      <c r="AI84" s="47">
        <v>420</v>
      </c>
      <c r="AJ84" s="1">
        <f t="shared" si="1"/>
        <v>-6930969051.413537</v>
      </c>
    </row>
    <row r="85" spans="35:36" x14ac:dyDescent="0.25">
      <c r="AI85" s="47">
        <v>430</v>
      </c>
      <c r="AJ85" s="1">
        <f t="shared" si="1"/>
        <v>-7616793565.4164476</v>
      </c>
    </row>
    <row r="86" spans="35:36" x14ac:dyDescent="0.25">
      <c r="AI86" s="47">
        <v>440</v>
      </c>
      <c r="AJ86" s="1">
        <f t="shared" si="1"/>
        <v>-8352298544.8723011</v>
      </c>
    </row>
    <row r="87" spans="35:36" x14ac:dyDescent="0.25">
      <c r="AI87" s="47">
        <v>450</v>
      </c>
      <c r="AJ87" s="1">
        <f t="shared" ref="AJ87:AJ96" si="8">AI87^4*$Z$23+AI87^3*$AA$23+AI87^2*$AB$23+AI87*$AC$23+$AD$23</f>
        <v>-9139827167.6817951</v>
      </c>
    </row>
    <row r="88" spans="35:36" x14ac:dyDescent="0.25">
      <c r="AI88" s="47">
        <v>460</v>
      </c>
      <c r="AJ88" s="1">
        <f t="shared" si="8"/>
        <v>-9981776608.5129776</v>
      </c>
    </row>
    <row r="89" spans="35:36" x14ac:dyDescent="0.25">
      <c r="AI89" s="47">
        <v>470</v>
      </c>
      <c r="AJ89" s="1">
        <f t="shared" si="8"/>
        <v>-10880598038.801216</v>
      </c>
    </row>
    <row r="90" spans="35:36" x14ac:dyDescent="0.25">
      <c r="AI90" s="47">
        <v>480</v>
      </c>
      <c r="AJ90" s="1">
        <f t="shared" si="8"/>
        <v>-11838796626.749237</v>
      </c>
    </row>
    <row r="91" spans="35:36" x14ac:dyDescent="0.25">
      <c r="AI91" s="47">
        <v>490</v>
      </c>
      <c r="AJ91" s="1">
        <f t="shared" si="8"/>
        <v>-12858931537.327089</v>
      </c>
    </row>
    <row r="92" spans="35:36" x14ac:dyDescent="0.25">
      <c r="AI92" s="47">
        <v>500</v>
      </c>
      <c r="AJ92" s="1">
        <f t="shared" si="8"/>
        <v>-13943615932.272173</v>
      </c>
    </row>
    <row r="93" spans="35:36" x14ac:dyDescent="0.25">
      <c r="AI93" s="47">
        <v>510</v>
      </c>
      <c r="AJ93" s="1">
        <f t="shared" si="8"/>
        <v>-15095516970.089212</v>
      </c>
    </row>
    <row r="94" spans="35:36" x14ac:dyDescent="0.25">
      <c r="AI94" s="47">
        <v>520</v>
      </c>
      <c r="AJ94" s="1">
        <f t="shared" si="8"/>
        <v>-16317355806.050287</v>
      </c>
    </row>
    <row r="95" spans="35:36" x14ac:dyDescent="0.25">
      <c r="AI95" s="47">
        <v>530</v>
      </c>
      <c r="AJ95" s="1">
        <f t="shared" si="8"/>
        <v>-17611907592.194798</v>
      </c>
    </row>
    <row r="96" spans="35:36" ht="15.75" thickBot="1" x14ac:dyDescent="0.3">
      <c r="AI96" s="48">
        <v>540</v>
      </c>
      <c r="AJ96" s="1">
        <f t="shared" si="8"/>
        <v>-18982001477.329491</v>
      </c>
    </row>
  </sheetData>
  <mergeCells count="10">
    <mergeCell ref="A21:A22"/>
    <mergeCell ref="F21:F22"/>
    <mergeCell ref="E21:E22"/>
    <mergeCell ref="I21:N21"/>
    <mergeCell ref="J1:X7"/>
    <mergeCell ref="B8:C8"/>
    <mergeCell ref="B21:B22"/>
    <mergeCell ref="C21:C22"/>
    <mergeCell ref="D21:D22"/>
    <mergeCell ref="G21:G22"/>
  </mergeCells>
  <printOptions horizontalCentered="1" verticalCentered="1"/>
  <pageMargins left="0.5" right="0.5" top="0.5" bottom="0.5" header="0.3" footer="0.3"/>
  <pageSetup scale="47" orientation="landscape" r:id="rId1"/>
  <headerFooter scaleWithDoc="0">
    <oddHeader>&amp;L&amp;"-,Bold"&amp;14Leaping Regulator Calculation for Egg-Shaped Sewers</oddHeader>
    <oddFooter>&amp;L&amp;8&amp;Z&amp;F
Sheet = &amp;A&amp;R&amp;8Revision Date =  6/22/2020
Print Date =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J38"/>
  <sheetViews>
    <sheetView zoomScale="85" zoomScaleNormal="85" workbookViewId="0">
      <selection activeCell="F3" sqref="F3:F38"/>
    </sheetView>
  </sheetViews>
  <sheetFormatPr defaultColWidth="9.140625" defaultRowHeight="15" x14ac:dyDescent="0.25"/>
  <cols>
    <col min="1" max="1" width="41.28515625" style="9" bestFit="1" customWidth="1"/>
    <col min="2" max="2" width="9.140625" style="9"/>
    <col min="4" max="4" width="16.140625" bestFit="1" customWidth="1"/>
    <col min="5" max="7" width="22.28515625" style="9" customWidth="1"/>
    <col min="8" max="10" width="15" style="9" bestFit="1" customWidth="1"/>
    <col min="11" max="16384" width="9.140625" style="9"/>
  </cols>
  <sheetData>
    <row r="1" spans="1:10" ht="21" customHeight="1" x14ac:dyDescent="0.25">
      <c r="A1" s="16" t="s">
        <v>29</v>
      </c>
    </row>
    <row r="2" spans="1:10" ht="37.5" customHeight="1" x14ac:dyDescent="0.25">
      <c r="A2" s="15" t="s">
        <v>34</v>
      </c>
      <c r="B2" s="15" t="s">
        <v>31</v>
      </c>
      <c r="C2" s="19" t="s">
        <v>30</v>
      </c>
      <c r="D2" s="20" t="s">
        <v>35</v>
      </c>
      <c r="E2" s="15" t="s">
        <v>36</v>
      </c>
      <c r="F2" s="15" t="s">
        <v>39</v>
      </c>
      <c r="G2" s="15" t="s">
        <v>32</v>
      </c>
      <c r="H2" s="15" t="s">
        <v>37</v>
      </c>
      <c r="I2" s="15" t="s">
        <v>3</v>
      </c>
      <c r="J2" s="15" t="s">
        <v>0</v>
      </c>
    </row>
    <row r="3" spans="1:10" ht="15" customHeight="1" x14ac:dyDescent="0.25">
      <c r="A3" s="17">
        <v>0</v>
      </c>
      <c r="B3" s="17">
        <f t="shared" ref="B3:B38" si="0">1-A3</f>
        <v>1</v>
      </c>
      <c r="C3" s="21">
        <f>2*ACOS((1/2-B3)/(1/2))</f>
        <v>6.2831853071795862</v>
      </c>
      <c r="D3" s="21">
        <f>(PI()*(1/2)^2-(1/2)^2*(C3-SIN(C3))/2)/(PI()*(1/2)^2)</f>
        <v>0</v>
      </c>
      <c r="E3" s="17">
        <f>(2*PI()*(1/2)-(1/2)*C3)/(PI()*1)</f>
        <v>0</v>
      </c>
      <c r="F3" s="17">
        <f>SIN(C3/2)</f>
        <v>1.22514845490862E-16</v>
      </c>
      <c r="G3" s="17">
        <v>0</v>
      </c>
      <c r="H3" s="17">
        <v>0</v>
      </c>
      <c r="I3" s="17">
        <f t="shared" ref="I3:I38" si="1">(4*G3/1)^(2/3)</f>
        <v>0</v>
      </c>
      <c r="J3" s="17">
        <f t="shared" ref="J3:J38" si="2">I3*D3</f>
        <v>0</v>
      </c>
    </row>
    <row r="4" spans="1:10" x14ac:dyDescent="0.25">
      <c r="A4" s="14">
        <v>0.02</v>
      </c>
      <c r="B4" s="17">
        <f t="shared" si="0"/>
        <v>0.98</v>
      </c>
      <c r="C4" s="21">
        <f t="shared" ref="C4:C38" si="3">2*ACOS((1/2-B4)/(1/2))</f>
        <v>5.7155970887629302</v>
      </c>
      <c r="D4" s="21">
        <f t="shared" ref="D4:D38" si="4">(PI()*(1/2)^2-(1/2)^2*(C4-SIN(C4))/2)/(PI()*(1/2)^2)</f>
        <v>4.7727731955301781E-3</v>
      </c>
      <c r="E4" s="17">
        <f t="shared" ref="E4:E38" si="5">(2*PI()*(1/2)-(1/2)*C4)/(PI()*1)</f>
        <v>9.0334470601733163E-2</v>
      </c>
      <c r="F4" s="17">
        <f t="shared" ref="F4:F38" si="6">SIN(C4/2)</f>
        <v>0.2800000000000003</v>
      </c>
      <c r="G4" s="17">
        <f t="shared" ref="G4:G38" si="7">(PI()*(1/2)^2-(1/2)^2*(C4-SIN(C4))/2)/(2*PI()*(1/2)-(1/2)*C4)</f>
        <v>1.3208615614111451E-2</v>
      </c>
      <c r="H4" s="17">
        <f t="shared" ref="H4:H38" si="8">(PI()*(1/2)^2-(1/2)^2*(C4-SIN(C4))/2)/(2*PI()*(1/2)-(1/2)*C4)/(1/4)</f>
        <v>5.2834462456445803E-2</v>
      </c>
      <c r="I4" s="17">
        <f t="shared" si="1"/>
        <v>0.14080287701845201</v>
      </c>
      <c r="J4" s="17">
        <f t="shared" si="2"/>
        <v>6.7202019728719988E-4</v>
      </c>
    </row>
    <row r="5" spans="1:10" x14ac:dyDescent="0.25">
      <c r="A5" s="14">
        <v>0.03</v>
      </c>
      <c r="B5" s="17">
        <f t="shared" si="0"/>
        <v>0.97</v>
      </c>
      <c r="C5" s="21">
        <f t="shared" si="3"/>
        <v>5.5868532646336639</v>
      </c>
      <c r="D5" s="21">
        <f t="shared" si="4"/>
        <v>8.7414406154851833E-3</v>
      </c>
      <c r="E5" s="17">
        <f t="shared" si="5"/>
        <v>0.1108246866044595</v>
      </c>
      <c r="F5" s="17">
        <f t="shared" si="6"/>
        <v>0.34117444218463999</v>
      </c>
      <c r="G5" s="17">
        <f t="shared" si="7"/>
        <v>1.971907361823623E-2</v>
      </c>
      <c r="H5" s="17">
        <f t="shared" si="8"/>
        <v>7.8876294472944919E-2</v>
      </c>
      <c r="I5" s="17">
        <f t="shared" si="1"/>
        <v>0.1839208645776739</v>
      </c>
      <c r="J5" s="17">
        <f t="shared" si="2"/>
        <v>1.6077333156544287E-3</v>
      </c>
    </row>
    <row r="6" spans="1:10" x14ac:dyDescent="0.25">
      <c r="A6" s="14">
        <v>0.04</v>
      </c>
      <c r="B6" s="17">
        <f t="shared" si="0"/>
        <v>0.96</v>
      </c>
      <c r="C6" s="21">
        <f t="shared" si="3"/>
        <v>5.4777536240182627</v>
      </c>
      <c r="D6" s="21">
        <f t="shared" si="4"/>
        <v>1.3417064556352703E-2</v>
      </c>
      <c r="E6" s="17">
        <f t="shared" si="5"/>
        <v>0.12818843369794994</v>
      </c>
      <c r="F6" s="17">
        <f t="shared" si="6"/>
        <v>0.39191835884530879</v>
      </c>
      <c r="G6" s="17">
        <f t="shared" si="7"/>
        <v>2.6166683235960463E-2</v>
      </c>
      <c r="H6" s="17">
        <f t="shared" si="8"/>
        <v>0.10466673294384185</v>
      </c>
      <c r="I6" s="17">
        <f t="shared" si="1"/>
        <v>0.22209516917051952</v>
      </c>
      <c r="J6" s="17">
        <f t="shared" si="2"/>
        <v>2.9798652224149349E-3</v>
      </c>
    </row>
    <row r="7" spans="1:10" x14ac:dyDescent="0.25">
      <c r="A7" s="14">
        <v>4.9999999999999996E-2</v>
      </c>
      <c r="B7" s="17">
        <f t="shared" si="0"/>
        <v>0.95</v>
      </c>
      <c r="C7" s="21">
        <f t="shared" si="3"/>
        <v>5.3811316835870606</v>
      </c>
      <c r="D7" s="21">
        <f t="shared" si="4"/>
        <v>1.8693036734249324E-2</v>
      </c>
      <c r="E7" s="17">
        <f t="shared" si="5"/>
        <v>0.14356629312870639</v>
      </c>
      <c r="F7" s="17">
        <f t="shared" si="6"/>
        <v>0.43588989435406778</v>
      </c>
      <c r="G7" s="17">
        <f t="shared" si="7"/>
        <v>3.2551228298224433E-2</v>
      </c>
      <c r="H7" s="17">
        <f t="shared" si="8"/>
        <v>0.13020491319289773</v>
      </c>
      <c r="I7" s="17">
        <f t="shared" si="1"/>
        <v>0.25689259250085633</v>
      </c>
      <c r="J7" s="17">
        <f t="shared" si="2"/>
        <v>4.8021026683750497E-3</v>
      </c>
    </row>
    <row r="8" spans="1:10" x14ac:dyDescent="0.25">
      <c r="A8" s="14">
        <v>0.06</v>
      </c>
      <c r="B8" s="17">
        <f t="shared" si="0"/>
        <v>0.94</v>
      </c>
      <c r="C8" s="21">
        <f t="shared" si="3"/>
        <v>5.2933170544977948</v>
      </c>
      <c r="D8" s="21">
        <f t="shared" si="4"/>
        <v>2.4496264590262575E-2</v>
      </c>
      <c r="E8" s="17">
        <f t="shared" si="5"/>
        <v>0.1575424254240444</v>
      </c>
      <c r="F8" s="17">
        <f t="shared" si="6"/>
        <v>0.47497368348151697</v>
      </c>
      <c r="G8" s="17">
        <f t="shared" si="7"/>
        <v>3.8872488671429194E-2</v>
      </c>
      <c r="H8" s="17">
        <f t="shared" si="8"/>
        <v>0.15548995468571677</v>
      </c>
      <c r="I8" s="17">
        <f t="shared" si="1"/>
        <v>0.28915778634094796</v>
      </c>
      <c r="J8" s="17">
        <f t="shared" si="2"/>
        <v>7.0832856425424749E-3</v>
      </c>
    </row>
    <row r="9" spans="1:10" x14ac:dyDescent="0.25">
      <c r="A9" s="14">
        <v>7.0000000000000007E-2</v>
      </c>
      <c r="B9" s="17">
        <f t="shared" si="0"/>
        <v>0.92999999999999994</v>
      </c>
      <c r="C9" s="21">
        <f t="shared" si="3"/>
        <v>5.2121319985508103</v>
      </c>
      <c r="D9" s="21">
        <f t="shared" si="4"/>
        <v>3.0772221828685557E-2</v>
      </c>
      <c r="E9" s="17">
        <f t="shared" si="5"/>
        <v>0.17046342838319906</v>
      </c>
      <c r="F9" s="17">
        <f t="shared" si="6"/>
        <v>0.51029403288692321</v>
      </c>
      <c r="G9" s="17">
        <f t="shared" si="7"/>
        <v>4.5130240135013149E-2</v>
      </c>
      <c r="H9" s="17">
        <f t="shared" si="8"/>
        <v>0.18052096054005259</v>
      </c>
      <c r="I9" s="17">
        <f t="shared" si="1"/>
        <v>0.31941238906919162</v>
      </c>
      <c r="J9" s="17">
        <f t="shared" si="2"/>
        <v>9.8290288912675824E-3</v>
      </c>
    </row>
    <row r="10" spans="1:10" x14ac:dyDescent="0.25">
      <c r="A10" s="14">
        <v>0.08</v>
      </c>
      <c r="B10" s="17">
        <f t="shared" si="0"/>
        <v>0.92</v>
      </c>
      <c r="C10" s="21">
        <f t="shared" si="3"/>
        <v>5.1361590983333931</v>
      </c>
      <c r="D10" s="21">
        <f t="shared" si="4"/>
        <v>3.7477974562532927E-2</v>
      </c>
      <c r="E10" s="17">
        <f t="shared" si="5"/>
        <v>0.18255489099382832</v>
      </c>
      <c r="F10" s="17">
        <f t="shared" si="6"/>
        <v>0.54258639865002134</v>
      </c>
      <c r="G10" s="17">
        <f t="shared" si="7"/>
        <v>5.1324254253752033E-2</v>
      </c>
      <c r="H10" s="17">
        <f t="shared" si="8"/>
        <v>0.20529701701500813</v>
      </c>
      <c r="I10" s="17">
        <f t="shared" si="1"/>
        <v>0.3480073576946055</v>
      </c>
      <c r="J10" s="17">
        <f t="shared" si="2"/>
        <v>1.3042610899252722E-2</v>
      </c>
    </row>
    <row r="11" spans="1:10" x14ac:dyDescent="0.25">
      <c r="A11" s="14">
        <v>8.9999999999999983E-2</v>
      </c>
      <c r="B11" s="17">
        <f t="shared" si="0"/>
        <v>0.91</v>
      </c>
      <c r="C11" s="21">
        <f t="shared" si="3"/>
        <v>5.0644146911179968</v>
      </c>
      <c r="D11" s="21">
        <f t="shared" si="4"/>
        <v>4.4578414955748748E-2</v>
      </c>
      <c r="E11" s="17">
        <f t="shared" si="5"/>
        <v>0.19397336804135648</v>
      </c>
      <c r="F11" s="17">
        <f t="shared" si="6"/>
        <v>0.57236352085016728</v>
      </c>
      <c r="G11" s="17">
        <f t="shared" si="7"/>
        <v>5.745429824449446E-2</v>
      </c>
      <c r="H11" s="17">
        <f t="shared" si="8"/>
        <v>0.22981719297797784</v>
      </c>
      <c r="I11" s="17">
        <f t="shared" si="1"/>
        <v>0.37519324484632582</v>
      </c>
      <c r="J11" s="17">
        <f t="shared" si="2"/>
        <v>1.6725520157353353E-2</v>
      </c>
    </row>
    <row r="12" spans="1:10" x14ac:dyDescent="0.25">
      <c r="A12" s="14">
        <v>9.9999999999999992E-2</v>
      </c>
      <c r="B12" s="17">
        <f t="shared" si="0"/>
        <v>0.9</v>
      </c>
      <c r="C12" s="21">
        <f t="shared" si="3"/>
        <v>4.9961830895930177</v>
      </c>
      <c r="D12" s="21">
        <f t="shared" si="4"/>
        <v>5.2044019330913897E-2</v>
      </c>
      <c r="E12" s="17">
        <f t="shared" si="5"/>
        <v>0.20483276469913342</v>
      </c>
      <c r="F12" s="17">
        <f t="shared" si="6"/>
        <v>0.6</v>
      </c>
      <c r="G12" s="17">
        <f t="shared" si="7"/>
        <v>6.3520134837019654E-2</v>
      </c>
      <c r="H12" s="17">
        <f t="shared" si="8"/>
        <v>0.25408053934807862</v>
      </c>
      <c r="I12" s="17">
        <f t="shared" si="1"/>
        <v>0.40115690171063884</v>
      </c>
      <c r="J12" s="17">
        <f t="shared" si="2"/>
        <v>2.0877817547358013E-2</v>
      </c>
    </row>
    <row r="13" spans="1:10" x14ac:dyDescent="0.25">
      <c r="A13" s="14">
        <v>0.11</v>
      </c>
      <c r="B13" s="17">
        <f t="shared" si="0"/>
        <v>0.89</v>
      </c>
      <c r="C13" s="21">
        <f t="shared" si="3"/>
        <v>4.9309242880582635</v>
      </c>
      <c r="D13" s="21">
        <f t="shared" si="4"/>
        <v>5.9849416987386814E-2</v>
      </c>
      <c r="E13" s="17">
        <f t="shared" si="5"/>
        <v>0.2152190255436425</v>
      </c>
      <c r="F13" s="17">
        <f t="shared" si="6"/>
        <v>0.62577951388648068</v>
      </c>
      <c r="G13" s="17">
        <f t="shared" si="7"/>
        <v>6.9521522128686564E-2</v>
      </c>
      <c r="H13" s="17">
        <f t="shared" si="8"/>
        <v>0.27808608851474625</v>
      </c>
      <c r="I13" s="17">
        <f t="shared" si="1"/>
        <v>0.42604241943050586</v>
      </c>
      <c r="J13" s="17">
        <f t="shared" si="2"/>
        <v>2.5498390414811497E-2</v>
      </c>
    </row>
    <row r="14" spans="1:10" x14ac:dyDescent="0.25">
      <c r="A14" s="14">
        <v>0.12</v>
      </c>
      <c r="B14" s="17">
        <f t="shared" si="0"/>
        <v>0.88</v>
      </c>
      <c r="C14" s="21">
        <f t="shared" si="3"/>
        <v>4.8682188836209006</v>
      </c>
      <c r="D14" s="21">
        <f t="shared" si="4"/>
        <v>6.7972426830534352E-2</v>
      </c>
      <c r="E14" s="17">
        <f t="shared" si="5"/>
        <v>0.22519890061842529</v>
      </c>
      <c r="F14" s="17">
        <f t="shared" si="6"/>
        <v>0.64992307237087676</v>
      </c>
      <c r="G14" s="17">
        <f t="shared" si="7"/>
        <v>7.5458213432518198E-2</v>
      </c>
      <c r="H14" s="17">
        <f t="shared" si="8"/>
        <v>0.30183285373007279</v>
      </c>
      <c r="I14" s="17">
        <f t="shared" si="1"/>
        <v>0.4499639009574426</v>
      </c>
      <c r="J14" s="17">
        <f t="shared" si="2"/>
        <v>3.0585138334211573E-2</v>
      </c>
    </row>
    <row r="15" spans="1:10" x14ac:dyDescent="0.25">
      <c r="A15" s="14">
        <v>0.13</v>
      </c>
      <c r="B15" s="17">
        <f t="shared" si="0"/>
        <v>0.87</v>
      </c>
      <c r="C15" s="21">
        <f t="shared" si="3"/>
        <v>4.8077333702730884</v>
      </c>
      <c r="D15" s="21">
        <f t="shared" si="4"/>
        <v>7.6393381313559411E-2</v>
      </c>
      <c r="E15" s="17">
        <f t="shared" si="5"/>
        <v>0.23482546905318041</v>
      </c>
      <c r="F15" s="17">
        <f t="shared" si="6"/>
        <v>0.6726068688320096</v>
      </c>
      <c r="G15" s="17">
        <f t="shared" si="7"/>
        <v>8.1329957118342622E-2</v>
      </c>
      <c r="H15" s="17">
        <f t="shared" si="8"/>
        <v>0.32531982847337049</v>
      </c>
      <c r="I15" s="17">
        <f t="shared" si="1"/>
        <v>0.47301366762596087</v>
      </c>
      <c r="J15" s="17">
        <f t="shared" si="2"/>
        <v>3.6135113477475278E-2</v>
      </c>
    </row>
    <row r="16" spans="1:10" x14ac:dyDescent="0.25">
      <c r="A16" s="14">
        <v>0.14000000000000001</v>
      </c>
      <c r="B16" s="17">
        <f t="shared" si="0"/>
        <v>0.86</v>
      </c>
      <c r="C16" s="21">
        <f t="shared" si="3"/>
        <v>4.7491972914558529</v>
      </c>
      <c r="D16" s="21">
        <f t="shared" si="4"/>
        <v>8.5094635759651233E-2</v>
      </c>
      <c r="E16" s="17">
        <f t="shared" si="5"/>
        <v>0.24414177534616024</v>
      </c>
      <c r="F16" s="17">
        <f t="shared" si="6"/>
        <v>0.69397406291589903</v>
      </c>
      <c r="G16" s="17">
        <f t="shared" si="7"/>
        <v>8.7136496446581571E-2</v>
      </c>
      <c r="H16" s="17">
        <f t="shared" si="8"/>
        <v>0.34854598578632628</v>
      </c>
      <c r="I16" s="17">
        <f t="shared" si="1"/>
        <v>0.49526775869388656</v>
      </c>
      <c r="J16" s="17">
        <f t="shared" si="2"/>
        <v>4.2144629529555118E-2</v>
      </c>
    </row>
    <row r="17" spans="1:10" x14ac:dyDescent="0.25">
      <c r="A17" s="14">
        <v>0.15</v>
      </c>
      <c r="B17" s="17">
        <f t="shared" si="0"/>
        <v>0.85</v>
      </c>
      <c r="C17" s="21">
        <f t="shared" si="3"/>
        <v>4.6923876468112997</v>
      </c>
      <c r="D17" s="21">
        <f t="shared" si="4"/>
        <v>9.4060202187093517E-2</v>
      </c>
      <c r="E17" s="17">
        <f t="shared" si="5"/>
        <v>0.25318331110663489</v>
      </c>
      <c r="F17" s="17">
        <f t="shared" si="6"/>
        <v>0.71414284285428486</v>
      </c>
      <c r="G17" s="17">
        <f t="shared" si="7"/>
        <v>9.2877569394253595E-2</v>
      </c>
      <c r="H17" s="17">
        <f t="shared" si="8"/>
        <v>0.37151027757701438</v>
      </c>
      <c r="I17" s="17">
        <f t="shared" si="1"/>
        <v>0.51678974666674016</v>
      </c>
      <c r="J17" s="17">
        <f t="shared" si="2"/>
        <v>4.8609348059690416E-2</v>
      </c>
    </row>
    <row r="18" spans="1:10" x14ac:dyDescent="0.25">
      <c r="A18" s="14">
        <v>0.16</v>
      </c>
      <c r="B18" s="17">
        <f t="shared" si="0"/>
        <v>0.84</v>
      </c>
      <c r="C18" s="21">
        <f t="shared" si="3"/>
        <v>4.637117922909634</v>
      </c>
      <c r="D18" s="21">
        <f t="shared" si="4"/>
        <v>0.10327546957847747</v>
      </c>
      <c r="E18" s="17">
        <f t="shared" si="5"/>
        <v>0.26197976086890928</v>
      </c>
      <c r="F18" s="17">
        <f t="shared" si="6"/>
        <v>0.7332121111929345</v>
      </c>
      <c r="G18" s="17">
        <f t="shared" si="7"/>
        <v>9.8552908472722592E-2</v>
      </c>
      <c r="H18" s="17">
        <f t="shared" si="8"/>
        <v>0.39421163389089037</v>
      </c>
      <c r="I18" s="17">
        <f t="shared" si="1"/>
        <v>0.53763346220494235</v>
      </c>
      <c r="J18" s="17">
        <f t="shared" si="2"/>
        <v>5.552434827031804E-2</v>
      </c>
    </row>
    <row r="19" spans="1:10" x14ac:dyDescent="0.25">
      <c r="A19" s="14">
        <v>0.16999999999999998</v>
      </c>
      <c r="B19" s="17">
        <f t="shared" si="0"/>
        <v>0.83000000000000007</v>
      </c>
      <c r="C19" s="21">
        <f t="shared" si="3"/>
        <v>4.5832301753299731</v>
      </c>
      <c r="D19" s="21">
        <f t="shared" si="4"/>
        <v>0.11272698587639171</v>
      </c>
      <c r="E19" s="17">
        <f t="shared" si="5"/>
        <v>0.2705562622683006</v>
      </c>
      <c r="F19" s="17">
        <f t="shared" si="6"/>
        <v>0.75126559883971777</v>
      </c>
      <c r="G19" s="17">
        <f t="shared" si="7"/>
        <v>0.10416224053668784</v>
      </c>
      <c r="H19" s="17">
        <f t="shared" si="8"/>
        <v>0.41664896214675134</v>
      </c>
      <c r="I19" s="17">
        <f t="shared" si="1"/>
        <v>0.55784498897123225</v>
      </c>
      <c r="J19" s="17">
        <f t="shared" si="2"/>
        <v>6.2884184192975992E-2</v>
      </c>
    </row>
    <row r="20" spans="1:10" x14ac:dyDescent="0.25">
      <c r="A20" s="14">
        <v>0.17999999999999997</v>
      </c>
      <c r="B20" s="17">
        <f t="shared" si="0"/>
        <v>0.82000000000000006</v>
      </c>
      <c r="C20" s="21">
        <f t="shared" si="3"/>
        <v>4.5305891848429054</v>
      </c>
      <c r="D20" s="21">
        <f t="shared" si="4"/>
        <v>0.12240228512569856</v>
      </c>
      <c r="E20" s="17">
        <f t="shared" si="5"/>
        <v>0.27893433611357088</v>
      </c>
      <c r="F20" s="17">
        <f t="shared" si="6"/>
        <v>0.76837490849194179</v>
      </c>
      <c r="G20" s="17">
        <f t="shared" si="7"/>
        <v>0.10970528658388373</v>
      </c>
      <c r="H20" s="17">
        <f t="shared" si="8"/>
        <v>0.43882114633553493</v>
      </c>
      <c r="I20" s="17">
        <f t="shared" si="1"/>
        <v>0.57746415546466257</v>
      </c>
      <c r="J20" s="17">
        <f t="shared" si="2"/>
        <v>7.0682932207056348E-2</v>
      </c>
    </row>
    <row r="21" spans="1:10" x14ac:dyDescent="0.25">
      <c r="A21" s="14">
        <v>0.18999999999999997</v>
      </c>
      <c r="B21" s="17">
        <f t="shared" si="0"/>
        <v>0.81</v>
      </c>
      <c r="C21" s="21">
        <f t="shared" si="3"/>
        <v>4.4790780599945368</v>
      </c>
      <c r="D21" s="21">
        <f t="shared" si="4"/>
        <v>0.13228974832828586</v>
      </c>
      <c r="E21" s="17">
        <f t="shared" si="5"/>
        <v>0.2871325862574125</v>
      </c>
      <c r="F21" s="17">
        <f t="shared" si="6"/>
        <v>0.7846018098373212</v>
      </c>
      <c r="G21" s="17">
        <f t="shared" si="7"/>
        <v>0.11518176154489912</v>
      </c>
      <c r="H21" s="17">
        <f t="shared" si="8"/>
        <v>0.46072704617959648</v>
      </c>
      <c r="I21" s="17">
        <f t="shared" si="1"/>
        <v>0.59652567156979164</v>
      </c>
      <c r="J21" s="17">
        <f t="shared" si="2"/>
        <v>7.8914230963329446E-2</v>
      </c>
    </row>
    <row r="22" spans="1:10" x14ac:dyDescent="0.25">
      <c r="A22" s="14">
        <v>0.19999999999999998</v>
      </c>
      <c r="B22" s="17">
        <f t="shared" si="0"/>
        <v>0.8</v>
      </c>
      <c r="C22" s="21">
        <f t="shared" si="3"/>
        <v>4.4285948711763616</v>
      </c>
      <c r="D22" s="21">
        <f t="shared" si="4"/>
        <v>0.14237848993264707</v>
      </c>
      <c r="E22" s="17">
        <f t="shared" si="5"/>
        <v>0.29516723530086658</v>
      </c>
      <c r="F22" s="17">
        <f t="shared" si="6"/>
        <v>0.80000000000000016</v>
      </c>
      <c r="G22" s="17">
        <f t="shared" si="7"/>
        <v>0.12059137406250342</v>
      </c>
      <c r="H22" s="17">
        <f t="shared" si="8"/>
        <v>0.48236549625001368</v>
      </c>
      <c r="I22" s="17">
        <f t="shared" si="1"/>
        <v>0.61506000866185295</v>
      </c>
      <c r="J22" s="17">
        <f t="shared" si="2"/>
        <v>8.7571315251235446E-2</v>
      </c>
    </row>
    <row r="23" spans="1:10" ht="15" customHeight="1" x14ac:dyDescent="0.25">
      <c r="A23" s="14">
        <v>0.25</v>
      </c>
      <c r="B23" s="17">
        <f t="shared" si="0"/>
        <v>0.75</v>
      </c>
      <c r="C23" s="21">
        <f t="shared" si="3"/>
        <v>4.1887902047863914</v>
      </c>
      <c r="D23" s="21">
        <f t="shared" si="4"/>
        <v>0.19550110947788513</v>
      </c>
      <c r="E23" s="17">
        <f t="shared" si="5"/>
        <v>0.33333333333333326</v>
      </c>
      <c r="F23" s="17">
        <f t="shared" si="6"/>
        <v>0.86602540378443849</v>
      </c>
      <c r="G23" s="17">
        <f t="shared" si="7"/>
        <v>0.14662583210841387</v>
      </c>
      <c r="H23" s="17">
        <f t="shared" si="8"/>
        <v>0.58650332843365549</v>
      </c>
      <c r="I23" s="17">
        <f t="shared" si="1"/>
        <v>0.70067021134550245</v>
      </c>
      <c r="J23" s="17">
        <f t="shared" si="2"/>
        <v>0.13698180369614998</v>
      </c>
    </row>
    <row r="24" spans="1:10" x14ac:dyDescent="0.25">
      <c r="A24" s="14">
        <v>0.3</v>
      </c>
      <c r="B24" s="17">
        <f t="shared" si="0"/>
        <v>0.7</v>
      </c>
      <c r="C24" s="21">
        <f t="shared" si="3"/>
        <v>3.9646263457247688</v>
      </c>
      <c r="D24" s="21">
        <f t="shared" si="4"/>
        <v>0.2523157877343456</v>
      </c>
      <c r="E24" s="17">
        <f t="shared" si="5"/>
        <v>0.36901011956554541</v>
      </c>
      <c r="F24" s="17">
        <f t="shared" si="6"/>
        <v>0.9165151389911681</v>
      </c>
      <c r="G24" s="17">
        <f t="shared" si="7"/>
        <v>0.17094096771072967</v>
      </c>
      <c r="H24" s="17">
        <f t="shared" si="8"/>
        <v>0.68376387084291868</v>
      </c>
      <c r="I24" s="17">
        <f t="shared" si="1"/>
        <v>0.77613529403075843</v>
      </c>
      <c r="J24" s="17">
        <f t="shared" si="2"/>
        <v>0.19583118810179875</v>
      </c>
    </row>
    <row r="25" spans="1:10" x14ac:dyDescent="0.25">
      <c r="A25" s="14">
        <v>0.35000000000000003</v>
      </c>
      <c r="B25" s="17">
        <f t="shared" si="0"/>
        <v>0.64999999999999991</v>
      </c>
      <c r="C25" s="21">
        <f t="shared" si="3"/>
        <v>3.7509779616205878</v>
      </c>
      <c r="D25" s="21">
        <f t="shared" si="4"/>
        <v>0.31191883239053653</v>
      </c>
      <c r="E25" s="17">
        <f t="shared" si="5"/>
        <v>0.40301331597932177</v>
      </c>
      <c r="F25" s="17">
        <f t="shared" si="6"/>
        <v>0.95393920141694566</v>
      </c>
      <c r="G25" s="17">
        <f t="shared" si="7"/>
        <v>0.19349164160529922</v>
      </c>
      <c r="H25" s="17">
        <f t="shared" si="8"/>
        <v>0.77396656642119688</v>
      </c>
      <c r="I25" s="17">
        <f t="shared" si="1"/>
        <v>0.8429752045350869</v>
      </c>
      <c r="J25" s="17">
        <f t="shared" si="2"/>
        <v>0.26293984153275801</v>
      </c>
    </row>
    <row r="26" spans="1:10" x14ac:dyDescent="0.25">
      <c r="A26" s="14">
        <v>0.39999999999999997</v>
      </c>
      <c r="B26" s="17">
        <f t="shared" si="0"/>
        <v>0.60000000000000009</v>
      </c>
      <c r="C26" s="21">
        <f t="shared" si="3"/>
        <v>3.5443084951704549</v>
      </c>
      <c r="D26" s="21">
        <f t="shared" si="4"/>
        <v>0.37353003905233095</v>
      </c>
      <c r="E26" s="17">
        <f t="shared" si="5"/>
        <v>0.43590578315102502</v>
      </c>
      <c r="F26" s="17">
        <f t="shared" si="6"/>
        <v>0.9797958971132712</v>
      </c>
      <c r="G26" s="17">
        <f t="shared" si="7"/>
        <v>0.21422636122891076</v>
      </c>
      <c r="H26" s="17">
        <f t="shared" si="8"/>
        <v>0.85690544491564302</v>
      </c>
      <c r="I26" s="17">
        <f t="shared" si="1"/>
        <v>0.90217045757566283</v>
      </c>
      <c r="J26" s="17">
        <f t="shared" si="2"/>
        <v>0.33698776625009663</v>
      </c>
    </row>
    <row r="27" spans="1:10" x14ac:dyDescent="0.25">
      <c r="A27" s="14">
        <v>0.45000000000000007</v>
      </c>
      <c r="B27" s="17">
        <f t="shared" si="0"/>
        <v>0.54999999999999993</v>
      </c>
      <c r="C27" s="21">
        <f t="shared" si="3"/>
        <v>3.3419274959129126</v>
      </c>
      <c r="D27" s="21">
        <f t="shared" si="4"/>
        <v>0.43644428578476918</v>
      </c>
      <c r="E27" s="17">
        <f t="shared" si="5"/>
        <v>0.46811571957074011</v>
      </c>
      <c r="F27" s="17">
        <f t="shared" si="6"/>
        <v>0.99498743710661997</v>
      </c>
      <c r="G27" s="17">
        <f t="shared" si="7"/>
        <v>0.23308568134871999</v>
      </c>
      <c r="H27" s="17">
        <f t="shared" si="8"/>
        <v>0.93234272539487995</v>
      </c>
      <c r="I27" s="17">
        <f t="shared" si="1"/>
        <v>0.95437061225905395</v>
      </c>
      <c r="J27" s="17">
        <f t="shared" si="2"/>
        <v>0.4165296002413757</v>
      </c>
    </row>
    <row r="28" spans="1:10" x14ac:dyDescent="0.25">
      <c r="A28" s="14">
        <v>0.5</v>
      </c>
      <c r="B28" s="17">
        <f t="shared" si="0"/>
        <v>0.5</v>
      </c>
      <c r="C28" s="21">
        <f t="shared" si="3"/>
        <v>3.1415926535897931</v>
      </c>
      <c r="D28" s="21">
        <f t="shared" si="4"/>
        <v>0.5</v>
      </c>
      <c r="E28" s="17">
        <f t="shared" si="5"/>
        <v>0.5</v>
      </c>
      <c r="F28" s="17">
        <f t="shared" si="6"/>
        <v>1</v>
      </c>
      <c r="G28" s="17">
        <f t="shared" si="7"/>
        <v>0.25</v>
      </c>
      <c r="H28" s="17">
        <f t="shared" si="8"/>
        <v>1</v>
      </c>
      <c r="I28" s="17">
        <f>(4*G28/1)^(2/3)</f>
        <v>1</v>
      </c>
      <c r="J28" s="17">
        <f t="shared" si="2"/>
        <v>0.5</v>
      </c>
    </row>
    <row r="29" spans="1:10" x14ac:dyDescent="0.25">
      <c r="A29" s="14">
        <v>0.54999999999999993</v>
      </c>
      <c r="B29" s="17">
        <f t="shared" si="0"/>
        <v>0.45000000000000007</v>
      </c>
      <c r="C29" s="21">
        <f t="shared" si="3"/>
        <v>2.9412578112666736</v>
      </c>
      <c r="D29" s="21">
        <f t="shared" si="4"/>
        <v>0.56355571421523087</v>
      </c>
      <c r="E29" s="17">
        <f t="shared" si="5"/>
        <v>0.53188428042925995</v>
      </c>
      <c r="F29" s="17">
        <f t="shared" si="6"/>
        <v>0.99498743710661997</v>
      </c>
      <c r="G29" s="17">
        <f t="shared" si="7"/>
        <v>0.26488643063506706</v>
      </c>
      <c r="H29" s="17">
        <f t="shared" si="8"/>
        <v>1.0595457225402682</v>
      </c>
      <c r="I29" s="17">
        <f t="shared" si="1"/>
        <v>1.0393132603087014</v>
      </c>
      <c r="J29" s="17">
        <f t="shared" si="2"/>
        <v>0.58571092670663039</v>
      </c>
    </row>
    <row r="30" spans="1:10" x14ac:dyDescent="0.25">
      <c r="A30" s="14">
        <v>0.6</v>
      </c>
      <c r="B30" s="17">
        <f t="shared" si="0"/>
        <v>0.4</v>
      </c>
      <c r="C30" s="21">
        <f t="shared" si="3"/>
        <v>2.7388768120091314</v>
      </c>
      <c r="D30" s="21">
        <f t="shared" si="4"/>
        <v>0.62646996094766905</v>
      </c>
      <c r="E30" s="17">
        <f t="shared" si="5"/>
        <v>0.56409421684897498</v>
      </c>
      <c r="F30" s="17">
        <f t="shared" si="6"/>
        <v>0.9797958971132712</v>
      </c>
      <c r="G30" s="17">
        <f t="shared" si="7"/>
        <v>0.2776442047425714</v>
      </c>
      <c r="H30" s="17">
        <f t="shared" si="8"/>
        <v>1.1105768189702856</v>
      </c>
      <c r="I30" s="17">
        <f t="shared" si="1"/>
        <v>1.0724220530674473</v>
      </c>
      <c r="J30" s="17">
        <f t="shared" si="2"/>
        <v>0.67184020170458281</v>
      </c>
    </row>
    <row r="31" spans="1:10" x14ac:dyDescent="0.25">
      <c r="A31" s="14">
        <v>0.65</v>
      </c>
      <c r="B31" s="17">
        <f t="shared" si="0"/>
        <v>0.35</v>
      </c>
      <c r="C31" s="21">
        <f t="shared" si="3"/>
        <v>2.532207345558998</v>
      </c>
      <c r="D31" s="21">
        <f t="shared" si="4"/>
        <v>0.68808116760946358</v>
      </c>
      <c r="E31" s="17">
        <f t="shared" si="5"/>
        <v>0.59698668402067834</v>
      </c>
      <c r="F31" s="17">
        <f t="shared" si="6"/>
        <v>0.95393920141694566</v>
      </c>
      <c r="G31" s="17">
        <f t="shared" si="7"/>
        <v>0.28814761954792195</v>
      </c>
      <c r="H31" s="17">
        <f t="shared" si="8"/>
        <v>1.1525904781916878</v>
      </c>
      <c r="I31" s="17">
        <f t="shared" si="1"/>
        <v>1.0993011567766773</v>
      </c>
      <c r="J31" s="17">
        <f t="shared" si="2"/>
        <v>0.75640842350933013</v>
      </c>
    </row>
    <row r="32" spans="1:10" x14ac:dyDescent="0.25">
      <c r="A32" s="14">
        <v>0.70000000000000007</v>
      </c>
      <c r="B32" s="17">
        <f t="shared" si="0"/>
        <v>0.29999999999999993</v>
      </c>
      <c r="C32" s="21">
        <f t="shared" si="3"/>
        <v>2.3185589614548165</v>
      </c>
      <c r="D32" s="21">
        <f t="shared" si="4"/>
        <v>0.74768421226565474</v>
      </c>
      <c r="E32" s="17">
        <f t="shared" si="5"/>
        <v>0.6309898804344547</v>
      </c>
      <c r="F32" s="17">
        <f t="shared" si="6"/>
        <v>0.91651513899116788</v>
      </c>
      <c r="G32" s="17">
        <f t="shared" si="7"/>
        <v>0.29623462889406904</v>
      </c>
      <c r="H32" s="17">
        <f t="shared" si="8"/>
        <v>1.1849385155762762</v>
      </c>
      <c r="I32" s="17">
        <f t="shared" si="1"/>
        <v>1.1197744246217323</v>
      </c>
      <c r="J32" s="17">
        <f t="shared" si="2"/>
        <v>0.83723765858852661</v>
      </c>
    </row>
    <row r="33" spans="1:10" x14ac:dyDescent="0.25">
      <c r="A33" s="14">
        <v>0.75</v>
      </c>
      <c r="B33" s="17">
        <f t="shared" si="0"/>
        <v>0.25</v>
      </c>
      <c r="C33" s="21">
        <f t="shared" si="3"/>
        <v>2.0943951023931953</v>
      </c>
      <c r="D33" s="21">
        <f t="shared" si="4"/>
        <v>0.80449889052211476</v>
      </c>
      <c r="E33" s="17">
        <f t="shared" si="5"/>
        <v>0.66666666666666674</v>
      </c>
      <c r="F33" s="17">
        <f t="shared" si="6"/>
        <v>0.8660254037844386</v>
      </c>
      <c r="G33" s="17">
        <f t="shared" si="7"/>
        <v>0.30168708394579297</v>
      </c>
      <c r="H33" s="17">
        <f t="shared" si="8"/>
        <v>1.2067483357831719</v>
      </c>
      <c r="I33" s="17">
        <f t="shared" si="1"/>
        <v>1.1334728945753945</v>
      </c>
      <c r="J33" s="17">
        <f t="shared" si="2"/>
        <v>0.91187768612279485</v>
      </c>
    </row>
    <row r="34" spans="1:10" x14ac:dyDescent="0.25">
      <c r="A34" s="14">
        <v>0.79999999999999993</v>
      </c>
      <c r="B34" s="17">
        <f t="shared" si="0"/>
        <v>0.20000000000000007</v>
      </c>
      <c r="C34" s="21">
        <f t="shared" si="3"/>
        <v>1.8545904360032246</v>
      </c>
      <c r="D34" s="21">
        <f t="shared" si="4"/>
        <v>0.85762151006735299</v>
      </c>
      <c r="E34" s="17">
        <f t="shared" si="5"/>
        <v>0.70483276469913347</v>
      </c>
      <c r="F34" s="17">
        <f t="shared" si="6"/>
        <v>0.8</v>
      </c>
      <c r="G34" s="17">
        <f t="shared" si="7"/>
        <v>0.304193261515531</v>
      </c>
      <c r="H34" s="17">
        <f t="shared" si="8"/>
        <v>1.216773046062124</v>
      </c>
      <c r="I34" s="17">
        <f t="shared" si="1"/>
        <v>1.1397415659241339</v>
      </c>
      <c r="J34" s="17">
        <f t="shared" si="2"/>
        <v>0.97746688285438521</v>
      </c>
    </row>
    <row r="35" spans="1:10" x14ac:dyDescent="0.25">
      <c r="A35" s="14">
        <v>0.84999999999999987</v>
      </c>
      <c r="B35" s="17">
        <f t="shared" si="0"/>
        <v>0.15000000000000013</v>
      </c>
      <c r="C35" s="21">
        <f t="shared" si="3"/>
        <v>1.5907976603682876</v>
      </c>
      <c r="D35" s="21">
        <f t="shared" si="4"/>
        <v>0.90593979781290623</v>
      </c>
      <c r="E35" s="17">
        <f t="shared" si="5"/>
        <v>0.74681668889336494</v>
      </c>
      <c r="F35" s="17">
        <f t="shared" si="6"/>
        <v>0.7141428428542852</v>
      </c>
      <c r="G35" s="17">
        <f t="shared" si="7"/>
        <v>0.30326712407676987</v>
      </c>
      <c r="H35" s="17">
        <f t="shared" si="8"/>
        <v>1.2130684963070795</v>
      </c>
      <c r="I35" s="17">
        <f t="shared" si="1"/>
        <v>1.1374270424200679</v>
      </c>
      <c r="J35" s="17">
        <f t="shared" si="2"/>
        <v>1.0304404248369683</v>
      </c>
    </row>
    <row r="36" spans="1:10" x14ac:dyDescent="0.25">
      <c r="A36" s="14">
        <v>0.90000000000000013</v>
      </c>
      <c r="B36" s="17">
        <f t="shared" si="0"/>
        <v>9.9999999999999867E-2</v>
      </c>
      <c r="C36" s="21">
        <f t="shared" si="3"/>
        <v>1.2870022175865679</v>
      </c>
      <c r="D36" s="21">
        <f t="shared" si="4"/>
        <v>0.94795598066908626</v>
      </c>
      <c r="E36" s="17">
        <f t="shared" si="5"/>
        <v>0.79516723530086675</v>
      </c>
      <c r="F36" s="17">
        <f t="shared" si="6"/>
        <v>0.59999999999999964</v>
      </c>
      <c r="G36" s="17">
        <f t="shared" si="7"/>
        <v>0.29803667033338244</v>
      </c>
      <c r="H36" s="17">
        <f t="shared" si="8"/>
        <v>1.1921466813335297</v>
      </c>
      <c r="I36" s="17">
        <f t="shared" si="1"/>
        <v>1.1243110078669516</v>
      </c>
      <c r="J36" s="17">
        <f t="shared" si="2"/>
        <v>1.0657973440395649</v>
      </c>
    </row>
    <row r="37" spans="1:10" x14ac:dyDescent="0.25">
      <c r="A37" s="14">
        <v>0.95000000000000007</v>
      </c>
      <c r="B37" s="17">
        <f t="shared" si="0"/>
        <v>4.9999999999999933E-2</v>
      </c>
      <c r="C37" s="21">
        <f t="shared" si="3"/>
        <v>0.90205362359252383</v>
      </c>
      <c r="D37" s="21">
        <f t="shared" si="4"/>
        <v>0.98130696326575084</v>
      </c>
      <c r="E37" s="17">
        <f t="shared" si="5"/>
        <v>0.85643370687129394</v>
      </c>
      <c r="F37" s="17">
        <f t="shared" si="6"/>
        <v>0.43588989435406689</v>
      </c>
      <c r="G37" s="17">
        <f t="shared" si="7"/>
        <v>0.28645152432481941</v>
      </c>
      <c r="H37" s="17">
        <f t="shared" si="8"/>
        <v>1.1458060972992776</v>
      </c>
      <c r="I37" s="17">
        <f t="shared" si="1"/>
        <v>1.094983107572352</v>
      </c>
      <c r="J37" s="17">
        <f t="shared" si="2"/>
        <v>1.0745145481191196</v>
      </c>
    </row>
    <row r="38" spans="1:10" x14ac:dyDescent="0.25">
      <c r="A38" s="14">
        <v>1</v>
      </c>
      <c r="B38" s="17">
        <f t="shared" si="0"/>
        <v>0</v>
      </c>
      <c r="C38" s="21">
        <f t="shared" si="3"/>
        <v>0</v>
      </c>
      <c r="D38" s="21">
        <f t="shared" si="4"/>
        <v>1</v>
      </c>
      <c r="E38" s="17">
        <f t="shared" si="5"/>
        <v>1</v>
      </c>
      <c r="F38" s="17">
        <f t="shared" si="6"/>
        <v>0</v>
      </c>
      <c r="G38" s="17">
        <f t="shared" si="7"/>
        <v>0.25</v>
      </c>
      <c r="H38" s="17">
        <f t="shared" si="8"/>
        <v>1</v>
      </c>
      <c r="I38" s="17">
        <f t="shared" si="1"/>
        <v>1</v>
      </c>
      <c r="J38" s="17">
        <f t="shared" si="2"/>
        <v>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f0c5c60-bcf3-45a2-bae4-16d144afd412}" enabled="1" method="Standard" siteId="{80749ab4-a000-4723-b8bd-c47c62a01a0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Circular Template</vt:lpstr>
      <vt:lpstr>Proportional Element Table</vt:lpstr>
    </vt:vector>
  </TitlesOfParts>
  <Company>Wade Trim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 Trim User</dc:creator>
  <cp:lastModifiedBy>Meyer, David</cp:lastModifiedBy>
  <cp:lastPrinted>2020-06-22T12:33:35Z</cp:lastPrinted>
  <dcterms:created xsi:type="dcterms:W3CDTF">2011-08-05T12:23:07Z</dcterms:created>
  <dcterms:modified xsi:type="dcterms:W3CDTF">2025-10-23T22:09:01Z</dcterms:modified>
</cp:coreProperties>
</file>